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nkoko/Desktop/Project/Food_Lab/Git/food_lab_doc/02.Design Document/"/>
    </mc:Choice>
  </mc:AlternateContent>
  <xr:revisionPtr revIDLastSave="0" documentId="13_ncr:1_{D0A66EE6-46E5-554C-B71F-B01C96F3A7BF}" xr6:coauthVersionLast="47" xr6:coauthVersionMax="47" xr10:uidLastSave="{00000000-0000-0000-0000-000000000000}"/>
  <bookViews>
    <workbookView xWindow="0" yWindow="500" windowWidth="17660" windowHeight="15760" firstSheet="1" activeTab="10" xr2:uid="{7BA0B221-245C-954E-96F6-3D960DADD312}"/>
  </bookViews>
  <sheets>
    <sheet name="Cover" sheetId="3" r:id="rId1"/>
    <sheet name="Customer Requirement" sheetId="9" r:id="rId2"/>
    <sheet name="Schedule" sheetId="1" r:id="rId3"/>
    <sheet name="By person" sheetId="13" r:id="rId4"/>
    <sheet name="Coin &amp; Order Flow" sheetId="12" r:id="rId5"/>
    <sheet name="Project Flow_Admin" sheetId="2" r:id="rId6"/>
    <sheet name="Project Flow_Customer" sheetId="11" r:id="rId7"/>
    <sheet name="Project Flow_Kitchen" sheetId="10" r:id="rId8"/>
    <sheet name="Screen Design" sheetId="4" r:id="rId9"/>
    <sheet name="Code Rule" sheetId="15" r:id="rId10"/>
    <sheet name="DB Design" sheetId="6" r:id="rId11"/>
  </sheets>
  <definedNames>
    <definedName name="_xlnm.Print_Area" localSheetId="4">'Coin &amp; Order Flow'!$A$1:$U$57</definedName>
    <definedName name="_xlnm.Print_Area" localSheetId="0">Cover!$A$1:$N$66</definedName>
    <definedName name="_xlnm.Print_Area" localSheetId="10">'DB Design'!$A$1:$P$342</definedName>
    <definedName name="_xlnm.Print_Area" localSheetId="5">'Project Flow_Admin'!$A$1:$Q$291</definedName>
    <definedName name="_xlnm.Print_Area" localSheetId="6">'Project Flow_Customer'!$A$1:$T$305</definedName>
    <definedName name="_xlnm.Print_Area" localSheetId="7">'Project Flow_Kitchen'!$A$1:$U$95</definedName>
    <definedName name="_xlnm.Print_Area" localSheetId="2">Schedule!$A$1:$O$42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I5" i="1"/>
  <c r="P2" i="15"/>
  <c r="C1" i="15"/>
  <c r="AK2" i="13"/>
  <c r="C1" i="13"/>
  <c r="L25" i="1"/>
  <c r="L24" i="1"/>
  <c r="L23" i="1"/>
  <c r="L22" i="1"/>
  <c r="L21" i="1"/>
  <c r="I25" i="1"/>
  <c r="I24" i="1"/>
  <c r="I23" i="1"/>
  <c r="I22" i="1"/>
  <c r="I21" i="1"/>
  <c r="I20" i="1"/>
  <c r="I19" i="1"/>
  <c r="L20" i="1"/>
  <c r="L19" i="1"/>
  <c r="L18" i="1"/>
  <c r="I18" i="1"/>
  <c r="L17" i="1"/>
  <c r="I17" i="1"/>
  <c r="L16" i="1"/>
  <c r="I16" i="1"/>
  <c r="T2" i="12"/>
  <c r="C1" i="12"/>
  <c r="S2" i="11"/>
  <c r="C1" i="11"/>
  <c r="T2" i="10"/>
  <c r="C1" i="10"/>
  <c r="M64" i="3"/>
  <c r="O2" i="6"/>
  <c r="P2" i="4"/>
  <c r="P2" i="2"/>
  <c r="P2" i="9"/>
  <c r="N2" i="1"/>
  <c r="L30" i="1"/>
  <c r="L29" i="1"/>
  <c r="L28" i="1"/>
  <c r="I30" i="1"/>
  <c r="I29" i="1"/>
  <c r="I28" i="1"/>
  <c r="C1" i="9" l="1"/>
  <c r="C1" i="6"/>
  <c r="C1" i="4"/>
  <c r="C1" i="2"/>
  <c r="C1" i="1"/>
  <c r="L6" i="1"/>
  <c r="L7" i="1"/>
  <c r="L8" i="1"/>
  <c r="L9" i="1"/>
  <c r="L10" i="1"/>
  <c r="L11" i="1"/>
  <c r="L12" i="1"/>
  <c r="L13" i="1"/>
  <c r="L14" i="1"/>
  <c r="L15" i="1"/>
  <c r="L26" i="1"/>
  <c r="L27" i="1"/>
  <c r="L5" i="1"/>
  <c r="I6" i="1"/>
  <c r="I7" i="1"/>
  <c r="I8" i="1"/>
  <c r="I9" i="1"/>
  <c r="I10" i="1"/>
  <c r="I11" i="1"/>
  <c r="I12" i="1"/>
  <c r="I13" i="1"/>
  <c r="I14" i="1"/>
  <c r="I15" i="1"/>
  <c r="I26" i="1"/>
  <c r="I27" i="1"/>
  <c r="I31" i="1" l="1"/>
  <c r="I32" i="1" s="1"/>
</calcChain>
</file>

<file path=xl/sharedStrings.xml><?xml version="1.0" encoding="utf-8"?>
<sst xmlns="http://schemas.openxmlformats.org/spreadsheetml/2006/main" count="1245" uniqueCount="454">
  <si>
    <t>No</t>
  </si>
  <si>
    <t>Sub</t>
  </si>
  <si>
    <t>Task</t>
  </si>
  <si>
    <t>Assign</t>
  </si>
  <si>
    <t>Est Start</t>
  </si>
  <si>
    <t>Est End</t>
  </si>
  <si>
    <t>Duration Day</t>
  </si>
  <si>
    <t>Act Start</t>
  </si>
  <si>
    <t>Act End</t>
  </si>
  <si>
    <t>Act Duration</t>
  </si>
  <si>
    <t>Work Done</t>
  </si>
  <si>
    <t>Month</t>
  </si>
  <si>
    <t>Schedule（進捗）</t>
  </si>
  <si>
    <t>Project Flow（流れ）</t>
  </si>
  <si>
    <t>Screen Design（画面設計）</t>
  </si>
  <si>
    <t>Database（DB設計書）</t>
  </si>
  <si>
    <t>Development（開発）</t>
  </si>
  <si>
    <t>Unit Test（単体試験）</t>
  </si>
  <si>
    <t>Integration Test（結合試験）</t>
  </si>
  <si>
    <t xml:space="preserve">Team Member : </t>
  </si>
  <si>
    <t>Update Date</t>
  </si>
  <si>
    <t>Create Date</t>
  </si>
  <si>
    <t>Main Flow
(プロジャック流れ）</t>
  </si>
  <si>
    <t>Explanation of Project</t>
  </si>
  <si>
    <t>プロジャックの説明</t>
  </si>
  <si>
    <t>(プロジャック流れ）</t>
  </si>
  <si>
    <t>Path：</t>
  </si>
  <si>
    <t>Screen Design
(画面設計）</t>
  </si>
  <si>
    <t>Screen Name　：</t>
  </si>
  <si>
    <t>Field Name</t>
  </si>
  <si>
    <t>Description</t>
  </si>
  <si>
    <t>PK</t>
  </si>
  <si>
    <t>AI</t>
  </si>
  <si>
    <t>NN</t>
  </si>
  <si>
    <t>Type</t>
  </si>
  <si>
    <t>Length</t>
  </si>
  <si>
    <t>FK</t>
  </si>
  <si>
    <t>Remark</t>
  </si>
  <si>
    <t>DB  Name　：</t>
  </si>
  <si>
    <t>Table Name　：</t>
  </si>
  <si>
    <t>DB Design
(DB設計）</t>
  </si>
  <si>
    <t>Schedule
(進捗）</t>
  </si>
  <si>
    <t>Customer Requirement</t>
  </si>
  <si>
    <t>1-1</t>
  </si>
  <si>
    <t>1-1-1</t>
  </si>
  <si>
    <t>a)</t>
  </si>
  <si>
    <t>b)</t>
  </si>
  <si>
    <t>c)</t>
  </si>
  <si>
    <t>d)</t>
  </si>
  <si>
    <t>e)</t>
  </si>
  <si>
    <t>2-1</t>
  </si>
  <si>
    <t>2-1-1</t>
  </si>
  <si>
    <t>Customer Page Inculde</t>
  </si>
  <si>
    <t>Customer Requirement
(要件定義)</t>
  </si>
  <si>
    <t>Admin Login Screen</t>
  </si>
  <si>
    <t xml:space="preserve"> Team X</t>
  </si>
  <si>
    <t>Aung Min Khant</t>
  </si>
  <si>
    <t>Zaw Phyo Aung</t>
  </si>
  <si>
    <t>Min Khant</t>
  </si>
  <si>
    <t>Zayyar Htet</t>
  </si>
  <si>
    <t>Zarni Win Lwin</t>
  </si>
  <si>
    <t>Cherry Phoo Phoo Khaing</t>
  </si>
  <si>
    <t>Food_Lab</t>
  </si>
  <si>
    <t>Kitchen lab</t>
  </si>
  <si>
    <t>Admin Page</t>
  </si>
  <si>
    <t>3-1</t>
  </si>
  <si>
    <t>Kitchen Page Include</t>
  </si>
  <si>
    <t>3-1-1</t>
  </si>
  <si>
    <t>Coin Manage</t>
  </si>
  <si>
    <t>Transaction Manage</t>
  </si>
  <si>
    <t>Login</t>
  </si>
  <si>
    <t>Buy Coin</t>
  </si>
  <si>
    <t>Buy Item</t>
  </si>
  <si>
    <t>Verify Mail</t>
  </si>
  <si>
    <t>Message/Notification</t>
  </si>
  <si>
    <t>Finance Manage</t>
  </si>
  <si>
    <t>Product Manage</t>
  </si>
  <si>
    <t>f)</t>
  </si>
  <si>
    <t>Profile Setting</t>
  </si>
  <si>
    <t>Order Manage</t>
  </si>
  <si>
    <t>g)</t>
  </si>
  <si>
    <t>Tracking</t>
  </si>
  <si>
    <t>Dashboard</t>
  </si>
  <si>
    <t>ALL</t>
  </si>
  <si>
    <t>Linn</t>
  </si>
  <si>
    <t>Hosting Dev</t>
  </si>
  <si>
    <t>Hosting Public</t>
  </si>
  <si>
    <t>Release</t>
  </si>
  <si>
    <t>FOOD_LAB_DB</t>
  </si>
  <si>
    <t>Admin</t>
  </si>
  <si>
    <t>http:domain/admin/</t>
  </si>
  <si>
    <t>Super Admin</t>
  </si>
  <si>
    <t>Function</t>
  </si>
  <si>
    <t>Main Category</t>
  </si>
  <si>
    <t>Page</t>
  </si>
  <si>
    <t xml:space="preserve"> </t>
  </si>
  <si>
    <t>http:domain/</t>
  </si>
  <si>
    <t>Customer page (Home)</t>
  </si>
  <si>
    <t>Kitchen Page</t>
  </si>
  <si>
    <t>http:domain/order</t>
  </si>
  <si>
    <t>Coin &amp; Order Flow</t>
  </si>
  <si>
    <t>Customer</t>
  </si>
  <si>
    <t>Order</t>
  </si>
  <si>
    <t>Yes</t>
  </si>
  <si>
    <t>C,M,ZN</t>
  </si>
  <si>
    <t>Home</t>
  </si>
  <si>
    <t>Product</t>
  </si>
  <si>
    <t>Inform</t>
  </si>
  <si>
    <t>Profile</t>
  </si>
  <si>
    <t>Access</t>
  </si>
  <si>
    <t>Transaction</t>
  </si>
  <si>
    <t>Coin</t>
  </si>
  <si>
    <t>Finance</t>
  </si>
  <si>
    <t>Setting</t>
  </si>
  <si>
    <t>Aung</t>
  </si>
  <si>
    <t>Min</t>
  </si>
  <si>
    <t>Cherry</t>
  </si>
  <si>
    <t>Zaw</t>
  </si>
  <si>
    <t>Zayar</t>
  </si>
  <si>
    <t>Zarni</t>
  </si>
  <si>
    <t>Cherry,Aung</t>
  </si>
  <si>
    <t>Name</t>
  </si>
  <si>
    <t>Mobile Design</t>
  </si>
  <si>
    <t>Review &amp; Repair</t>
  </si>
  <si>
    <t>Mobile</t>
  </si>
  <si>
    <t xml:space="preserve">Mobile </t>
  </si>
  <si>
    <t>Code Rule</t>
  </si>
  <si>
    <t>COIN</t>
  </si>
  <si>
    <t>COD</t>
  </si>
  <si>
    <t>Global Rule</t>
  </si>
  <si>
    <t>Max Code line: 170 line in one method</t>
  </si>
  <si>
    <t>Max Argument : 7 parameter in one function</t>
  </si>
  <si>
    <t>ALL Capatial Letter for global variable</t>
  </si>
  <si>
    <t xml:space="preserve"> Variable name must be meaningful (Not allow x,y,x,I,etc…)</t>
  </si>
  <si>
    <t xml:space="preserve">Must write comment in every method (header) </t>
  </si>
  <si>
    <t>/*</t>
  </si>
  <si>
    <t>*Parameter explain</t>
  </si>
  <si>
    <t xml:space="preserve">*Return </t>
  </si>
  <si>
    <t>*/</t>
  </si>
  <si>
    <t>HTML Rule</t>
  </si>
  <si>
    <t>Must write close tag</t>
  </si>
  <si>
    <t>Not allow inline css and internal css</t>
  </si>
  <si>
    <t>ID must be unique in one html</t>
  </si>
  <si>
    <t>CSS Rule</t>
  </si>
  <si>
    <t>Use scale unit (em,%,vh,vw) instead of px.(As much as possible)</t>
  </si>
  <si>
    <t>Use root declear for common properties.</t>
  </si>
  <si>
    <t>Must write comment for open close tag</t>
  </si>
  <si>
    <t>Must write comment by block</t>
  </si>
  <si>
    <t>Not allow minus assign (Example : margin : -10px)</t>
  </si>
  <si>
    <t>Must be responsive</t>
  </si>
  <si>
    <t>Global varible must be write in start of line</t>
  </si>
  <si>
    <t>Javascript/Jquery Rule</t>
  </si>
  <si>
    <t>If webpage is used  jquery,Must be write (document.ready…)</t>
  </si>
  <si>
    <t>Not allow 3 time nested Loop Condition</t>
  </si>
  <si>
    <t>If using recursive method,must have break condition</t>
  </si>
  <si>
    <t>Avoid Deadcode</t>
  </si>
  <si>
    <t>Must be format.</t>
  </si>
  <si>
    <t>Json Rule</t>
  </si>
  <si>
    <t>Key must be meaningful</t>
  </si>
  <si>
    <t>Ajax Rule</t>
  </si>
  <si>
    <t>Must have ContectType,success,error catch and statuscode control</t>
  </si>
  <si>
    <t>Must have timeout properties</t>
  </si>
  <si>
    <t>ID must be encrypt</t>
  </si>
  <si>
    <t>Laravel</t>
  </si>
  <si>
    <t>Log must be divided by Category</t>
  </si>
  <si>
    <t>Must use try catch in complex business logic</t>
  </si>
  <si>
    <t>Must use lang</t>
  </si>
  <si>
    <t>Password must be encrypt</t>
  </si>
  <si>
    <t>Class name Must be Pascal Naming Rule</t>
  </si>
  <si>
    <t>View name Must be Camel Naming Rue</t>
  </si>
  <si>
    <t>Must  MVC Rule</t>
  </si>
  <si>
    <t>Must be divided Validation Class</t>
  </si>
  <si>
    <t>*Create:Author Name(Date)</t>
  </si>
  <si>
    <t>*Update:Author Name(Date)</t>
  </si>
  <si>
    <t>*Explanation of method or function</t>
  </si>
  <si>
    <t>Class Inside Oncall function must be private</t>
  </si>
  <si>
    <t>Must delete session if it is not use</t>
  </si>
  <si>
    <t>Camel Naming Rule for all Function</t>
  </si>
  <si>
    <t>Kitchen</t>
  </si>
  <si>
    <t>Customer Page</t>
  </si>
  <si>
    <t>ad_name</t>
  </si>
  <si>
    <t>ad_password</t>
  </si>
  <si>
    <t>ad_role</t>
  </si>
  <si>
    <t>ad_valid</t>
  </si>
  <si>
    <t>ad_login_dt</t>
  </si>
  <si>
    <t>Password</t>
  </si>
  <si>
    <t>Role</t>
  </si>
  <si>
    <t>Valid or not</t>
  </si>
  <si>
    <t>integer</t>
  </si>
  <si>
    <t>0:false , 1:true</t>
  </si>
  <si>
    <t>varchar</t>
  </si>
  <si>
    <t>●</t>
  </si>
  <si>
    <t>timestamp</t>
  </si>
  <si>
    <t>Last Login Time</t>
  </si>
  <si>
    <t>Default Fields</t>
  </si>
  <si>
    <t>id</t>
  </si>
  <si>
    <t>del_flg</t>
  </si>
  <si>
    <t>ID of Row</t>
  </si>
  <si>
    <t>Deleted or Not</t>
  </si>
  <si>
    <t>created_at</t>
  </si>
  <si>
    <t>updated_at</t>
  </si>
  <si>
    <t>Created Timestamp</t>
  </si>
  <si>
    <t>Updated Timestamp</t>
  </si>
  <si>
    <t>Bigint</t>
  </si>
  <si>
    <t>M_AD_Login</t>
  </si>
  <si>
    <t>SA:Super Admin, AD:Admin,
KA:Kitchen_Admin,DL:Delivery</t>
  </si>
  <si>
    <t>base</t>
  </si>
  <si>
    <t>rate</t>
  </si>
  <si>
    <t>Base on coin</t>
  </si>
  <si>
    <t>Rate</t>
  </si>
  <si>
    <t>Default is 1</t>
  </si>
  <si>
    <t>old_base</t>
  </si>
  <si>
    <t>new_base</t>
  </si>
  <si>
    <t>old_rate</t>
  </si>
  <si>
    <t>new_rate</t>
  </si>
  <si>
    <t>change_by</t>
  </si>
  <si>
    <t>T_AD_Order</t>
  </si>
  <si>
    <t>customer_id</t>
  </si>
  <si>
    <t>Customer ID</t>
  </si>
  <si>
    <t>order_status</t>
  </si>
  <si>
    <t>last_control_by</t>
  </si>
  <si>
    <t>Old Base Coin</t>
  </si>
  <si>
    <t>New Base Coin</t>
  </si>
  <si>
    <t>Old Rate</t>
  </si>
  <si>
    <t>New Rate</t>
  </si>
  <si>
    <t>Change By</t>
  </si>
  <si>
    <t>Order Status</t>
  </si>
  <si>
    <t>Last time Control By</t>
  </si>
  <si>
    <t>total_coin</t>
  </si>
  <si>
    <t>total_cash</t>
  </si>
  <si>
    <t>If Customer Buy with Coin</t>
  </si>
  <si>
    <t>If Customer Buy with COD</t>
  </si>
  <si>
    <t>change_note</t>
  </si>
  <si>
    <t>Change reason or Description</t>
  </si>
  <si>
    <t>T_AD_OrderDetail</t>
  </si>
  <si>
    <t>product_id</t>
  </si>
  <si>
    <t>quantity</t>
  </si>
  <si>
    <t>grandtotal_coin</t>
  </si>
  <si>
    <t>grandtotal_cash</t>
  </si>
  <si>
    <t>township_id</t>
  </si>
  <si>
    <t>Delivery Township ID</t>
  </si>
  <si>
    <t xml:space="preserve">Either or </t>
  </si>
  <si>
    <t>payment</t>
  </si>
  <si>
    <t>Payment Type</t>
  </si>
  <si>
    <t>0:Coin,1:COD</t>
  </si>
  <si>
    <t>note</t>
  </si>
  <si>
    <t>Product ID</t>
  </si>
  <si>
    <t>Quantity</t>
  </si>
  <si>
    <t>add note by customer</t>
  </si>
  <si>
    <t>request_coin</t>
  </si>
  <si>
    <t>request_datetime</t>
  </si>
  <si>
    <t>decision_status</t>
  </si>
  <si>
    <t>0:false,1:true</t>
  </si>
  <si>
    <t>decision_by</t>
  </si>
  <si>
    <t>re_decision</t>
  </si>
  <si>
    <t>old_status</t>
  </si>
  <si>
    <t>new_status</t>
  </si>
  <si>
    <t>Customer Request Coin</t>
  </si>
  <si>
    <t>Payment Screenshot</t>
  </si>
  <si>
    <t>Requested Datetime</t>
  </si>
  <si>
    <t>Status</t>
  </si>
  <si>
    <t>Re-decision or not</t>
  </si>
  <si>
    <t>Decision By</t>
  </si>
  <si>
    <t>T_AD_Charge ID</t>
  </si>
  <si>
    <t>order_id</t>
  </si>
  <si>
    <t>Order ID</t>
  </si>
  <si>
    <t>T_AD_Order ID</t>
  </si>
  <si>
    <t>Coin Charge ID</t>
  </si>
  <si>
    <t>M_AD_Login ID</t>
  </si>
  <si>
    <t>Old Status</t>
  </si>
  <si>
    <t>New Status</t>
  </si>
  <si>
    <t>T_AD_CoinCharge</t>
  </si>
  <si>
    <t>T_AD_CoinCharge_Decision_History</t>
  </si>
  <si>
    <t>M_AD_CoinRate</t>
  </si>
  <si>
    <t>T_AD_CoinRate_History</t>
  </si>
  <si>
    <t>T_CU_Customer</t>
  </si>
  <si>
    <t>nickname</t>
  </si>
  <si>
    <t>email</t>
  </si>
  <si>
    <t>phone</t>
  </si>
  <si>
    <t>address1</t>
  </si>
  <si>
    <t>address2</t>
  </si>
  <si>
    <t>address3</t>
  </si>
  <si>
    <t>login_by_facebook</t>
  </si>
  <si>
    <t>login_by_gmail</t>
  </si>
  <si>
    <t>gender</t>
  </si>
  <si>
    <t>password</t>
  </si>
  <si>
    <t>fav_type</t>
  </si>
  <si>
    <t>taste</t>
  </si>
  <si>
    <t>allergic</t>
  </si>
  <si>
    <t>customerID</t>
  </si>
  <si>
    <t>Generate Rule
------------------
1=&gt;Nickname (First Letter)
2=&gt;Nickname (Last Letter)
3=&gt;email (First letter)
4=&gt;password (First Letter)
5=&gt;password (Last Letter)
6,7=&gt;date (dd)
8,9=&gt;time (hh)
10,11,12=&gt;Random Chararacter[A-Za-z0-9!#$%&amp;]</t>
  </si>
  <si>
    <t>M_Township ID</t>
  </si>
  <si>
    <t>M_State ID</t>
  </si>
  <si>
    <t>Return Code form Facebook</t>
  </si>
  <si>
    <t>Return Code form Google</t>
  </si>
  <si>
    <t>0:Male,1:Female,2:Other</t>
  </si>
  <si>
    <t>bio</t>
  </si>
  <si>
    <t>ID of Customer</t>
  </si>
  <si>
    <t>Bio of customer</t>
  </si>
  <si>
    <t>Nickname</t>
  </si>
  <si>
    <t>Email</t>
  </si>
  <si>
    <t>Phone</t>
  </si>
  <si>
    <t>Address</t>
  </si>
  <si>
    <t>ID of Facebook Login</t>
  </si>
  <si>
    <t>ID of Gmail Login</t>
  </si>
  <si>
    <t>Gender of customer</t>
  </si>
  <si>
    <t>Taste of Customer</t>
  </si>
  <si>
    <t>Favorite Type of Customer</t>
  </si>
  <si>
    <t>Allergic of Customer</t>
  </si>
  <si>
    <t>Note by Admin</t>
  </si>
  <si>
    <t>title</t>
  </si>
  <si>
    <t>detail</t>
  </si>
  <si>
    <t>category</t>
  </si>
  <si>
    <t>Title of News</t>
  </si>
  <si>
    <t>Detail of News</t>
  </si>
  <si>
    <t>Category of News</t>
  </si>
  <si>
    <t>write_by</t>
  </si>
  <si>
    <t>Write By</t>
  </si>
  <si>
    <t>Title of Message</t>
  </si>
  <si>
    <t>Detail of Message</t>
  </si>
  <si>
    <t>charge_id</t>
  </si>
  <si>
    <t>T_AD_CoinCharge ID</t>
  </si>
  <si>
    <t>source</t>
  </si>
  <si>
    <t xml:space="preserve">Path of Image </t>
  </si>
  <si>
    <t>request_evd_ID</t>
  </si>
  <si>
    <t>T_AD_Evd</t>
  </si>
  <si>
    <t>Path of Screenshot</t>
  </si>
  <si>
    <t>T_CU_Customer ID</t>
  </si>
  <si>
    <t>payment_type</t>
  </si>
  <si>
    <t>path</t>
  </si>
  <si>
    <t>T_AD_CoinCharge_Finance</t>
  </si>
  <si>
    <t>M_AD_News</t>
  </si>
  <si>
    <t>M_AD_Track</t>
  </si>
  <si>
    <t>amount</t>
  </si>
  <si>
    <t>Received Amount</t>
  </si>
  <si>
    <t>M_Township</t>
  </si>
  <si>
    <t>township_name</t>
  </si>
  <si>
    <t>delivery_price</t>
  </si>
  <si>
    <t>Township Name</t>
  </si>
  <si>
    <t>Price for Devliery</t>
  </si>
  <si>
    <t>0 is Free</t>
  </si>
  <si>
    <t>M_Payment</t>
  </si>
  <si>
    <t>payment_name</t>
  </si>
  <si>
    <t>account_name</t>
  </si>
  <si>
    <t>M_Payment ID</t>
  </si>
  <si>
    <t>M_New_Category</t>
  </si>
  <si>
    <t>category_name</t>
  </si>
  <si>
    <t>food,health,promotion,social,other</t>
  </si>
  <si>
    <t>M_Taste ID</t>
  </si>
  <si>
    <t>M_Taste</t>
  </si>
  <si>
    <t>Taste of food</t>
  </si>
  <si>
    <t>Spicy,sweet,Lemon,Sweet and Sour</t>
  </si>
  <si>
    <t>M_Fav_Type ID</t>
  </si>
  <si>
    <t>M_Fav_Type</t>
  </si>
  <si>
    <t>favourite_food</t>
  </si>
  <si>
    <t>chinese,burmese,korean,thai,japanese</t>
  </si>
  <si>
    <t>M_Order_Status</t>
  </si>
  <si>
    <t>status</t>
  </si>
  <si>
    <t>M_Decision_Status ID</t>
  </si>
  <si>
    <t>M_Decison_Status</t>
  </si>
  <si>
    <t>Decision Status</t>
  </si>
  <si>
    <t>Request,Approve,Waiting,Reject</t>
  </si>
  <si>
    <t>Kpay,CB,KBZ,AYA,…..</t>
  </si>
  <si>
    <t>verify</t>
  </si>
  <si>
    <t>verift_code</t>
  </si>
  <si>
    <t>0:Not Valid,1:Valid</t>
  </si>
  <si>
    <t>Verify_Code</t>
  </si>
  <si>
    <t>generate with [A-Za-z0-9!#$%&amp;]</t>
  </si>
  <si>
    <t>dob</t>
  </si>
  <si>
    <t>Date of birthday</t>
  </si>
  <si>
    <t>last_login_time</t>
  </si>
  <si>
    <t>T_AD_Report</t>
  </si>
  <si>
    <t>T_AD_Contact</t>
  </si>
  <si>
    <t>T_AD_Suggest</t>
  </si>
  <si>
    <t>reply</t>
  </si>
  <si>
    <t>report_message</t>
  </si>
  <si>
    <t>Reported Message From Customer</t>
  </si>
  <si>
    <t>Reply Form Admin</t>
  </si>
  <si>
    <t>message</t>
  </si>
  <si>
    <t>Contact Message From Customer</t>
  </si>
  <si>
    <t>Reply form Admin</t>
  </si>
  <si>
    <t>suggest_type</t>
  </si>
  <si>
    <t>M_AD_CoinCharge_Message</t>
  </si>
  <si>
    <t>* Reply By mail</t>
  </si>
  <si>
    <t>Suggestion Type</t>
  </si>
  <si>
    <t>M_Suggest ID</t>
  </si>
  <si>
    <t>Suggest Message From Customer</t>
  </si>
  <si>
    <t>M_Suggest</t>
  </si>
  <si>
    <t>Suggest Type</t>
  </si>
  <si>
    <t>Cooking Quality,Delivery,Website,Taste</t>
  </si>
  <si>
    <t>M_Site</t>
  </si>
  <si>
    <t>site_name</t>
  </si>
  <si>
    <t>site_logo</t>
  </si>
  <si>
    <t>Logo Path</t>
  </si>
  <si>
    <t>Logo Of Website</t>
  </si>
  <si>
    <t>privacy_policy</t>
  </si>
  <si>
    <t>maintenance</t>
  </si>
  <si>
    <t>update_by</t>
  </si>
  <si>
    <t>Update By</t>
  </si>
  <si>
    <t>Maintenance Status</t>
  </si>
  <si>
    <t>Provacy Policy</t>
  </si>
  <si>
    <t>Name Of Site</t>
  </si>
  <si>
    <t>T_CU_Coin</t>
  </si>
  <si>
    <t>coin</t>
  </si>
  <si>
    <t>Coin Balance</t>
  </si>
  <si>
    <t>approve_By</t>
  </si>
  <si>
    <t>Approve By</t>
  </si>
  <si>
    <t>M_Order_Status ID</t>
  </si>
  <si>
    <t>T_AD_Evd ID</t>
  </si>
  <si>
    <t>note by admin</t>
  </si>
  <si>
    <t>Payment Name</t>
  </si>
  <si>
    <t>M_CU_Customer_Login</t>
  </si>
  <si>
    <t>Category Name</t>
  </si>
  <si>
    <t>For mail</t>
  </si>
  <si>
    <t>M_CU_Customer_Login 's customer_id search</t>
  </si>
  <si>
    <t>Request,Cancel,Confirm,Reject,Working,Delivery,
Complete</t>
  </si>
  <si>
    <t>M_Product</t>
  </si>
  <si>
    <t>product_name</t>
  </si>
  <si>
    <t>product_type</t>
  </si>
  <si>
    <t>product_taste</t>
  </si>
  <si>
    <t>description</t>
  </si>
  <si>
    <t>avaliable</t>
  </si>
  <si>
    <t>0: avaliable , 1:not avaliable</t>
  </si>
  <si>
    <t>M_Product_Detail</t>
  </si>
  <si>
    <t>M_Product _ID</t>
  </si>
  <si>
    <t>order</t>
  </si>
  <si>
    <t>label</t>
  </si>
  <si>
    <t>value</t>
  </si>
  <si>
    <t>M_News_Category</t>
  </si>
  <si>
    <t>M_State</t>
  </si>
  <si>
    <t>state_name</t>
  </si>
  <si>
    <t>State Name</t>
  </si>
  <si>
    <t>Yangon</t>
  </si>
  <si>
    <t>state_id</t>
  </si>
  <si>
    <t xml:space="preserve">State </t>
  </si>
  <si>
    <t>order_date</t>
  </si>
  <si>
    <t>order_time</t>
  </si>
  <si>
    <t>Order Date</t>
  </si>
  <si>
    <t>Order Time</t>
  </si>
  <si>
    <t>date</t>
  </si>
  <si>
    <t>time</t>
  </si>
  <si>
    <t>Zaw/Linn</t>
  </si>
  <si>
    <t>0:Select Box , 1: Checkbox</t>
  </si>
  <si>
    <t>T_CU_Coin_Customer</t>
  </si>
  <si>
    <t>cutomer_id</t>
  </si>
  <si>
    <t>remain_coin</t>
  </si>
  <si>
    <t xml:space="preserve">Remain ID </t>
  </si>
  <si>
    <t>by_action</t>
  </si>
  <si>
    <t>0:Charge,1:Add Directly</t>
  </si>
  <si>
    <t>T_CU_Coin_Customer_History</t>
  </si>
  <si>
    <t>add_coin</t>
  </si>
  <si>
    <t>balance_coin</t>
  </si>
  <si>
    <t>Add Coin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</si>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</sst>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36"/>
      <color theme="5" tint="-0.249977111117893"/>
      <name val="Calibri"/>
      <family val="2"/>
      <scheme val="minor"/>
    </font>
    <font>
      <sz val="16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75"/>
      <color rgb="FF0070C0"/>
      <name val="Calibri"/>
      <family val="2"/>
      <scheme val="minor"/>
    </font>
    <font>
      <sz val="7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5"/>
      <color rgb="FFFF0000"/>
      <name val="Calibri"/>
      <family val="2"/>
      <scheme val="minor"/>
    </font>
    <font>
      <sz val="25"/>
      <color theme="1"/>
      <name val="Calibri"/>
      <family val="2"/>
      <scheme val="minor"/>
    </font>
    <font>
      <sz val="25"/>
      <color theme="4" tint="-0.249977111117893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theme="4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theme="10"/>
      <name val="Calibri (Body)"/>
    </font>
    <font>
      <u/>
      <sz val="22"/>
      <color theme="10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8"/>
      <color theme="4"/>
      <name val="Calibri"/>
      <family val="2"/>
      <scheme val="minor"/>
    </font>
    <font>
      <sz val="18"/>
      <color rgb="FFFF0000"/>
      <name val="Calibri"/>
      <family val="2"/>
      <scheme val="minor"/>
    </font>
    <font>
      <sz val="22"/>
      <color theme="1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</cellStyleXfs>
  <cellXfs count="448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Border="1"/>
    <xf numFmtId="0" fontId="6" fillId="0" borderId="0" xfId="0" applyFont="1" applyBorder="1"/>
    <xf numFmtId="0" fontId="3" fillId="0" borderId="0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0" borderId="0" xfId="0" applyFont="1" applyBorder="1"/>
    <xf numFmtId="0" fontId="2" fillId="0" borderId="22" xfId="0" applyFont="1" applyBorder="1"/>
    <xf numFmtId="0" fontId="3" fillId="0" borderId="22" xfId="0" applyFont="1" applyBorder="1"/>
    <xf numFmtId="0" fontId="3" fillId="0" borderId="22" xfId="0" applyFont="1" applyBorder="1" applyAlignment="1">
      <alignment horizontal="left" indent="1"/>
    </xf>
    <xf numFmtId="0" fontId="0" fillId="0" borderId="22" xfId="0" applyBorder="1" applyAlignment="1">
      <alignment horizontal="left" indent="1"/>
    </xf>
    <xf numFmtId="0" fontId="10" fillId="4" borderId="3" xfId="0" applyFont="1" applyFill="1" applyBorder="1" applyAlignment="1">
      <alignment vertical="center"/>
    </xf>
    <xf numFmtId="0" fontId="10" fillId="4" borderId="13" xfId="0" applyFont="1" applyFill="1" applyBorder="1" applyAlignment="1">
      <alignment vertical="center"/>
    </xf>
    <xf numFmtId="0" fontId="11" fillId="0" borderId="0" xfId="0" applyFont="1" applyBorder="1"/>
    <xf numFmtId="0" fontId="2" fillId="0" borderId="23" xfId="0" applyFont="1" applyBorder="1"/>
    <xf numFmtId="0" fontId="4" fillId="0" borderId="0" xfId="0" applyFont="1" applyBorder="1" applyAlignment="1">
      <alignment horizontal="left" indent="1"/>
    </xf>
    <xf numFmtId="0" fontId="4" fillId="5" borderId="1" xfId="2" applyFont="1" applyFill="1" applyBorder="1"/>
    <xf numFmtId="0" fontId="4" fillId="5" borderId="3" xfId="2" applyFont="1" applyFill="1" applyBorder="1"/>
    <xf numFmtId="0" fontId="4" fillId="0" borderId="6" xfId="2" applyFont="1" applyBorder="1"/>
    <xf numFmtId="0" fontId="4" fillId="0" borderId="8" xfId="2" applyFont="1" applyBorder="1"/>
    <xf numFmtId="0" fontId="4" fillId="0" borderId="8" xfId="2" applyFont="1" applyBorder="1" applyAlignment="1">
      <alignment horizontal="left" vertical="center"/>
    </xf>
    <xf numFmtId="0" fontId="4" fillId="0" borderId="11" xfId="2" applyFont="1" applyBorder="1"/>
    <xf numFmtId="0" fontId="4" fillId="0" borderId="13" xfId="2" applyFont="1" applyBorder="1"/>
    <xf numFmtId="0" fontId="4" fillId="0" borderId="13" xfId="2" applyFont="1" applyBorder="1" applyAlignment="1">
      <alignment horizontal="left" vertical="center"/>
    </xf>
    <xf numFmtId="0" fontId="13" fillId="0" borderId="0" xfId="0" applyFont="1" applyBorder="1"/>
    <xf numFmtId="0" fontId="0" fillId="0" borderId="34" xfId="0" applyBorder="1"/>
    <xf numFmtId="0" fontId="0" fillId="0" borderId="35" xfId="0" applyBorder="1"/>
    <xf numFmtId="0" fontId="4" fillId="0" borderId="22" xfId="0" applyFont="1" applyBorder="1" applyAlignment="1">
      <alignment horizontal="left" indent="1"/>
    </xf>
    <xf numFmtId="0" fontId="3" fillId="2" borderId="1" xfId="0" applyFont="1" applyFill="1" applyBorder="1"/>
    <xf numFmtId="0" fontId="3" fillId="0" borderId="6" xfId="0" applyFont="1" applyFill="1" applyBorder="1"/>
    <xf numFmtId="0" fontId="3" fillId="3" borderId="7" xfId="0" applyFont="1" applyFill="1" applyBorder="1"/>
    <xf numFmtId="0" fontId="3" fillId="0" borderId="8" xfId="0" applyFont="1" applyFill="1" applyBorder="1"/>
    <xf numFmtId="164" fontId="3" fillId="0" borderId="8" xfId="0" applyNumberFormat="1" applyFont="1" applyFill="1" applyBorder="1"/>
    <xf numFmtId="1" fontId="3" fillId="0" borderId="9" xfId="0" applyNumberFormat="1" applyFont="1" applyFill="1" applyBorder="1"/>
    <xf numFmtId="9" fontId="3" fillId="0" borderId="10" xfId="1" applyFont="1" applyFill="1" applyBorder="1"/>
    <xf numFmtId="0" fontId="3" fillId="0" borderId="23" xfId="0" applyFont="1" applyBorder="1"/>
    <xf numFmtId="0" fontId="4" fillId="0" borderId="0" xfId="0" applyFont="1" applyBorder="1"/>
    <xf numFmtId="0" fontId="4" fillId="0" borderId="24" xfId="0" applyFont="1" applyBorder="1"/>
    <xf numFmtId="0" fontId="3" fillId="7" borderId="8" xfId="0" applyFont="1" applyFill="1" applyBorder="1"/>
    <xf numFmtId="0" fontId="3" fillId="0" borderId="36" xfId="0" applyFont="1" applyFill="1" applyBorder="1"/>
    <xf numFmtId="0" fontId="3" fillId="3" borderId="17" xfId="0" applyFont="1" applyFill="1" applyBorder="1"/>
    <xf numFmtId="0" fontId="3" fillId="0" borderId="37" xfId="0" applyFont="1" applyFill="1" applyBorder="1"/>
    <xf numFmtId="164" fontId="3" fillId="0" borderId="37" xfId="0" applyNumberFormat="1" applyFont="1" applyFill="1" applyBorder="1"/>
    <xf numFmtId="9" fontId="3" fillId="0" borderId="38" xfId="1" applyFont="1" applyFill="1" applyBorder="1"/>
    <xf numFmtId="0" fontId="3" fillId="6" borderId="11" xfId="0" applyFont="1" applyFill="1" applyBorder="1"/>
    <xf numFmtId="0" fontId="3" fillId="6" borderId="12" xfId="0" applyFont="1" applyFill="1" applyBorder="1"/>
    <xf numFmtId="0" fontId="3" fillId="6" borderId="13" xfId="0" applyFont="1" applyFill="1" applyBorder="1"/>
    <xf numFmtId="164" fontId="3" fillId="6" borderId="13" xfId="0" applyNumberFormat="1" applyFont="1" applyFill="1" applyBorder="1"/>
    <xf numFmtId="1" fontId="3" fillId="6" borderId="14" xfId="0" applyNumberFormat="1" applyFont="1" applyFill="1" applyBorder="1"/>
    <xf numFmtId="9" fontId="3" fillId="6" borderId="15" xfId="1" applyFont="1" applyFill="1" applyBorder="1"/>
    <xf numFmtId="0" fontId="16" fillId="0" borderId="0" xfId="3" applyFont="1" applyBorder="1"/>
    <xf numFmtId="0" fontId="17" fillId="0" borderId="0" xfId="0" applyFont="1" applyBorder="1"/>
    <xf numFmtId="0" fontId="17" fillId="0" borderId="22" xfId="0" applyFont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Border="1"/>
    <xf numFmtId="165" fontId="3" fillId="0" borderId="0" xfId="0" applyNumberFormat="1" applyFont="1" applyBorder="1"/>
    <xf numFmtId="164" fontId="0" fillId="0" borderId="25" xfId="0" applyNumberFormat="1" applyBorder="1"/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/>
    <xf numFmtId="0" fontId="18" fillId="0" borderId="0" xfId="0" applyFont="1" applyFill="1" applyBorder="1" applyAlignment="1">
      <alignment horizontal="center" vertical="center"/>
    </xf>
    <xf numFmtId="14" fontId="7" fillId="0" borderId="0" xfId="0" applyNumberFormat="1" applyFont="1" applyBorder="1"/>
    <xf numFmtId="0" fontId="20" fillId="0" borderId="22" xfId="0" applyFont="1" applyBorder="1"/>
    <xf numFmtId="0" fontId="20" fillId="0" borderId="0" xfId="0" applyFont="1" applyBorder="1"/>
    <xf numFmtId="0" fontId="5" fillId="0" borderId="22" xfId="0" applyFont="1" applyBorder="1"/>
    <xf numFmtId="0" fontId="5" fillId="0" borderId="0" xfId="0" applyFont="1" applyBorder="1"/>
    <xf numFmtId="0" fontId="17" fillId="0" borderId="19" xfId="0" applyFont="1" applyBorder="1"/>
    <xf numFmtId="0" fontId="17" fillId="0" borderId="20" xfId="0" applyFont="1" applyBorder="1"/>
    <xf numFmtId="0" fontId="22" fillId="0" borderId="20" xfId="0" applyFont="1" applyBorder="1"/>
    <xf numFmtId="0" fontId="22" fillId="0" borderId="0" xfId="0" applyFont="1" applyBorder="1"/>
    <xf numFmtId="0" fontId="3" fillId="0" borderId="20" xfId="0" applyFont="1" applyBorder="1"/>
    <xf numFmtId="0" fontId="3" fillId="0" borderId="21" xfId="0" applyFont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0" borderId="0" xfId="0" applyFont="1" applyBorder="1"/>
    <xf numFmtId="0" fontId="7" fillId="0" borderId="23" xfId="0" applyFont="1" applyBorder="1"/>
    <xf numFmtId="0" fontId="15" fillId="0" borderId="0" xfId="0" applyFont="1"/>
    <xf numFmtId="0" fontId="7" fillId="3" borderId="7" xfId="0" applyFont="1" applyFill="1" applyBorder="1"/>
    <xf numFmtId="0" fontId="15" fillId="0" borderId="0" xfId="0" applyFont="1" applyBorder="1"/>
    <xf numFmtId="0" fontId="15" fillId="0" borderId="23" xfId="0" applyFont="1" applyBorder="1"/>
    <xf numFmtId="0" fontId="4" fillId="8" borderId="0" xfId="0" applyFont="1" applyFill="1" applyBorder="1"/>
    <xf numFmtId="0" fontId="4" fillId="9" borderId="0" xfId="0" applyFont="1" applyFill="1" applyBorder="1"/>
    <xf numFmtId="0" fontId="4" fillId="7" borderId="0" xfId="0" applyFont="1" applyFill="1"/>
    <xf numFmtId="0" fontId="4" fillId="0" borderId="0" xfId="0" applyFont="1" applyAlignment="1">
      <alignment horizontal="left" indent="1"/>
    </xf>
    <xf numFmtId="0" fontId="24" fillId="0" borderId="22" xfId="0" applyFont="1" applyBorder="1" applyAlignment="1">
      <alignment horizontal="left" indent="1"/>
    </xf>
    <xf numFmtId="0" fontId="25" fillId="0" borderId="0" xfId="0" applyFont="1" applyBorder="1"/>
    <xf numFmtId="0" fontId="26" fillId="0" borderId="0" xfId="0" applyFont="1" applyBorder="1"/>
    <xf numFmtId="0" fontId="27" fillId="0" borderId="0" xfId="0" applyFont="1" applyBorder="1"/>
    <xf numFmtId="0" fontId="28" fillId="0" borderId="0" xfId="0" applyFont="1" applyBorder="1"/>
    <xf numFmtId="0" fontId="25" fillId="0" borderId="23" xfId="0" applyFont="1" applyBorder="1"/>
    <xf numFmtId="0" fontId="25" fillId="0" borderId="22" xfId="0" applyFont="1" applyBorder="1"/>
    <xf numFmtId="16" fontId="27" fillId="0" borderId="0" xfId="0" quotePrefix="1" applyNumberFormat="1" applyFont="1" applyBorder="1"/>
    <xf numFmtId="0" fontId="27" fillId="0" borderId="0" xfId="0" quotePrefix="1" applyFont="1" applyBorder="1"/>
    <xf numFmtId="0" fontId="25" fillId="0" borderId="0" xfId="0" quotePrefix="1" applyFont="1" applyBorder="1"/>
    <xf numFmtId="0" fontId="25" fillId="0" borderId="0" xfId="0" applyFont="1"/>
    <xf numFmtId="0" fontId="0" fillId="10" borderId="22" xfId="0" applyFill="1" applyBorder="1"/>
    <xf numFmtId="0" fontId="0" fillId="10" borderId="0" xfId="0" applyFill="1" applyBorder="1"/>
    <xf numFmtId="0" fontId="0" fillId="10" borderId="23" xfId="0" applyFill="1" applyBorder="1"/>
    <xf numFmtId="0" fontId="0" fillId="11" borderId="0" xfId="0" applyFill="1" applyBorder="1"/>
    <xf numFmtId="0" fontId="0" fillId="12" borderId="0" xfId="0" applyFill="1" applyBorder="1"/>
    <xf numFmtId="0" fontId="0" fillId="12" borderId="23" xfId="0" applyFill="1" applyBorder="1"/>
    <xf numFmtId="0" fontId="2" fillId="12" borderId="0" xfId="0" applyFont="1" applyFill="1" applyBorder="1"/>
    <xf numFmtId="0" fontId="2" fillId="12" borderId="23" xfId="0" applyFont="1" applyFill="1" applyBorder="1"/>
    <xf numFmtId="0" fontId="18" fillId="10" borderId="0" xfId="0" applyFont="1" applyFill="1" applyBorder="1"/>
    <xf numFmtId="0" fontId="18" fillId="11" borderId="0" xfId="0" applyFont="1" applyFill="1" applyBorder="1"/>
    <xf numFmtId="0" fontId="0" fillId="11" borderId="25" xfId="0" applyFill="1" applyBorder="1"/>
    <xf numFmtId="0" fontId="0" fillId="10" borderId="25" xfId="0" applyFill="1" applyBorder="1"/>
    <xf numFmtId="0" fontId="0" fillId="12" borderId="25" xfId="0" applyFill="1" applyBorder="1"/>
    <xf numFmtId="0" fontId="0" fillId="12" borderId="26" xfId="0" applyFill="1" applyBorder="1"/>
    <xf numFmtId="0" fontId="3" fillId="11" borderId="7" xfId="0" applyFont="1" applyFill="1" applyBorder="1"/>
    <xf numFmtId="0" fontId="3" fillId="11" borderId="8" xfId="0" applyFont="1" applyFill="1" applyBorder="1"/>
    <xf numFmtId="164" fontId="3" fillId="11" borderId="8" xfId="0" applyNumberFormat="1" applyFont="1" applyFill="1" applyBorder="1"/>
    <xf numFmtId="1" fontId="3" fillId="11" borderId="9" xfId="0" applyNumberFormat="1" applyFont="1" applyFill="1" applyBorder="1"/>
    <xf numFmtId="9" fontId="3" fillId="11" borderId="10" xfId="1" applyFont="1" applyFill="1" applyBorder="1"/>
    <xf numFmtId="1" fontId="3" fillId="0" borderId="39" xfId="0" applyNumberFormat="1" applyFont="1" applyFill="1" applyBorder="1"/>
    <xf numFmtId="0" fontId="3" fillId="0" borderId="40" xfId="0" applyFont="1" applyFill="1" applyBorder="1"/>
    <xf numFmtId="0" fontId="3" fillId="0" borderId="1" xfId="0" applyFont="1" applyFill="1" applyBorder="1"/>
    <xf numFmtId="0" fontId="3" fillId="11" borderId="2" xfId="0" applyFont="1" applyFill="1" applyBorder="1"/>
    <xf numFmtId="0" fontId="3" fillId="11" borderId="3" xfId="0" applyFont="1" applyFill="1" applyBorder="1"/>
    <xf numFmtId="164" fontId="3" fillId="11" borderId="3" xfId="0" applyNumberFormat="1" applyFont="1" applyFill="1" applyBorder="1"/>
    <xf numFmtId="1" fontId="3" fillId="11" borderId="4" xfId="0" applyNumberFormat="1" applyFont="1" applyFill="1" applyBorder="1"/>
    <xf numFmtId="9" fontId="3" fillId="11" borderId="5" xfId="1" applyFont="1" applyFill="1" applyBorder="1"/>
    <xf numFmtId="0" fontId="3" fillId="0" borderId="11" xfId="0" applyFont="1" applyFill="1" applyBorder="1"/>
    <xf numFmtId="0" fontId="3" fillId="11" borderId="12" xfId="0" applyFont="1" applyFill="1" applyBorder="1"/>
    <xf numFmtId="0" fontId="3" fillId="11" borderId="13" xfId="0" applyFont="1" applyFill="1" applyBorder="1"/>
    <xf numFmtId="164" fontId="3" fillId="11" borderId="13" xfId="0" applyNumberFormat="1" applyFont="1" applyFill="1" applyBorder="1"/>
    <xf numFmtId="1" fontId="3" fillId="11" borderId="14" xfId="0" applyNumberFormat="1" applyFont="1" applyFill="1" applyBorder="1"/>
    <xf numFmtId="9" fontId="3" fillId="11" borderId="15" xfId="1" applyFont="1" applyFill="1" applyBorder="1"/>
    <xf numFmtId="0" fontId="3" fillId="10" borderId="7" xfId="0" applyFont="1" applyFill="1" applyBorder="1"/>
    <xf numFmtId="0" fontId="3" fillId="10" borderId="8" xfId="0" applyFont="1" applyFill="1" applyBorder="1"/>
    <xf numFmtId="164" fontId="3" fillId="10" borderId="8" xfId="0" applyNumberFormat="1" applyFont="1" applyFill="1" applyBorder="1"/>
    <xf numFmtId="1" fontId="3" fillId="10" borderId="9" xfId="0" applyNumberFormat="1" applyFont="1" applyFill="1" applyBorder="1"/>
    <xf numFmtId="9" fontId="3" fillId="10" borderId="10" xfId="1" applyFont="1" applyFill="1" applyBorder="1"/>
    <xf numFmtId="0" fontId="3" fillId="10" borderId="2" xfId="0" applyFont="1" applyFill="1" applyBorder="1"/>
    <xf numFmtId="0" fontId="3" fillId="10" borderId="3" xfId="0" applyFont="1" applyFill="1" applyBorder="1"/>
    <xf numFmtId="164" fontId="3" fillId="10" borderId="3" xfId="0" applyNumberFormat="1" applyFont="1" applyFill="1" applyBorder="1"/>
    <xf numFmtId="1" fontId="3" fillId="10" borderId="4" xfId="0" applyNumberFormat="1" applyFont="1" applyFill="1" applyBorder="1"/>
    <xf numFmtId="9" fontId="3" fillId="10" borderId="5" xfId="1" applyFont="1" applyFill="1" applyBorder="1"/>
    <xf numFmtId="0" fontId="3" fillId="10" borderId="12" xfId="0" applyFont="1" applyFill="1" applyBorder="1"/>
    <xf numFmtId="0" fontId="3" fillId="10" borderId="13" xfId="0" applyFont="1" applyFill="1" applyBorder="1"/>
    <xf numFmtId="164" fontId="3" fillId="10" borderId="13" xfId="0" applyNumberFormat="1" applyFont="1" applyFill="1" applyBorder="1"/>
    <xf numFmtId="1" fontId="3" fillId="10" borderId="14" xfId="0" applyNumberFormat="1" applyFont="1" applyFill="1" applyBorder="1"/>
    <xf numFmtId="9" fontId="3" fillId="10" borderId="15" xfId="1" applyFont="1" applyFill="1" applyBorder="1"/>
    <xf numFmtId="0" fontId="3" fillId="3" borderId="41" xfId="0" applyFont="1" applyFill="1" applyBorder="1"/>
    <xf numFmtId="0" fontId="3" fillId="0" borderId="42" xfId="0" applyFont="1" applyFill="1" applyBorder="1"/>
    <xf numFmtId="164" fontId="3" fillId="0" borderId="42" xfId="0" applyNumberFormat="1" applyFont="1" applyFill="1" applyBorder="1"/>
    <xf numFmtId="1" fontId="3" fillId="0" borderId="43" xfId="0" applyNumberFormat="1" applyFont="1" applyFill="1" applyBorder="1"/>
    <xf numFmtId="9" fontId="3" fillId="0" borderId="44" xfId="1" applyFont="1" applyFill="1" applyBorder="1"/>
    <xf numFmtId="0" fontId="3" fillId="12" borderId="2" xfId="0" applyFont="1" applyFill="1" applyBorder="1"/>
    <xf numFmtId="0" fontId="3" fillId="12" borderId="3" xfId="0" applyFont="1" applyFill="1" applyBorder="1"/>
    <xf numFmtId="164" fontId="3" fillId="12" borderId="3" xfId="0" applyNumberFormat="1" applyFont="1" applyFill="1" applyBorder="1"/>
    <xf numFmtId="1" fontId="3" fillId="12" borderId="4" xfId="0" applyNumberFormat="1" applyFont="1" applyFill="1" applyBorder="1"/>
    <xf numFmtId="9" fontId="3" fillId="12" borderId="5" xfId="1" applyFont="1" applyFill="1" applyBorder="1"/>
    <xf numFmtId="0" fontId="3" fillId="12" borderId="12" xfId="0" applyFont="1" applyFill="1" applyBorder="1"/>
    <xf numFmtId="0" fontId="3" fillId="12" borderId="13" xfId="0" applyFont="1" applyFill="1" applyBorder="1"/>
    <xf numFmtId="164" fontId="3" fillId="12" borderId="13" xfId="0" applyNumberFormat="1" applyFont="1" applyFill="1" applyBorder="1"/>
    <xf numFmtId="1" fontId="3" fillId="12" borderId="14" xfId="0" applyNumberFormat="1" applyFont="1" applyFill="1" applyBorder="1"/>
    <xf numFmtId="9" fontId="3" fillId="12" borderId="15" xfId="1" applyFont="1" applyFill="1" applyBorder="1"/>
    <xf numFmtId="0" fontId="17" fillId="0" borderId="8" xfId="0" applyFont="1" applyBorder="1"/>
    <xf numFmtId="0" fontId="17" fillId="0" borderId="9" xfId="0" applyFont="1" applyBorder="1"/>
    <xf numFmtId="0" fontId="17" fillId="0" borderId="42" xfId="0" applyFont="1" applyBorder="1"/>
    <xf numFmtId="0" fontId="17" fillId="0" borderId="43" xfId="0" applyFont="1" applyBorder="1"/>
    <xf numFmtId="0" fontId="17" fillId="4" borderId="8" xfId="0" applyFont="1" applyFill="1" applyBorder="1"/>
    <xf numFmtId="0" fontId="33" fillId="2" borderId="16" xfId="0" applyFont="1" applyFill="1" applyBorder="1"/>
    <xf numFmtId="0" fontId="33" fillId="2" borderId="45" xfId="0" applyFont="1" applyFill="1" applyBorder="1"/>
    <xf numFmtId="0" fontId="34" fillId="10" borderId="34" xfId="0" applyFont="1" applyFill="1" applyBorder="1"/>
    <xf numFmtId="0" fontId="34" fillId="11" borderId="34" xfId="0" applyFont="1" applyFill="1" applyBorder="1"/>
    <xf numFmtId="0" fontId="34" fillId="10" borderId="33" xfId="0" applyFont="1" applyFill="1" applyBorder="1"/>
    <xf numFmtId="0" fontId="34" fillId="10" borderId="35" xfId="0" applyFont="1" applyFill="1" applyBorder="1"/>
    <xf numFmtId="0" fontId="34" fillId="11" borderId="33" xfId="0" applyFont="1" applyFill="1" applyBorder="1"/>
    <xf numFmtId="0" fontId="34" fillId="11" borderId="35" xfId="0" applyFont="1" applyFill="1" applyBorder="1"/>
    <xf numFmtId="0" fontId="34" fillId="0" borderId="0" xfId="0" applyFont="1" applyBorder="1"/>
    <xf numFmtId="0" fontId="34" fillId="10" borderId="20" xfId="0" applyFont="1" applyFill="1" applyBorder="1"/>
    <xf numFmtId="0" fontId="34" fillId="10" borderId="21" xfId="0" applyFont="1" applyFill="1" applyBorder="1"/>
    <xf numFmtId="0" fontId="34" fillId="11" borderId="19" xfId="0" applyFont="1" applyFill="1" applyBorder="1"/>
    <xf numFmtId="0" fontId="34" fillId="11" borderId="20" xfId="0" applyFont="1" applyFill="1" applyBorder="1"/>
    <xf numFmtId="0" fontId="34" fillId="10" borderId="25" xfId="0" applyFont="1" applyFill="1" applyBorder="1"/>
    <xf numFmtId="0" fontId="34" fillId="10" borderId="26" xfId="0" applyFont="1" applyFill="1" applyBorder="1"/>
    <xf numFmtId="0" fontId="34" fillId="11" borderId="24" xfId="0" applyFont="1" applyFill="1" applyBorder="1"/>
    <xf numFmtId="0" fontId="34" fillId="11" borderId="25" xfId="0" applyFont="1" applyFill="1" applyBorder="1"/>
    <xf numFmtId="0" fontId="34" fillId="12" borderId="33" xfId="0" applyFont="1" applyFill="1" applyBorder="1"/>
    <xf numFmtId="0" fontId="34" fillId="12" borderId="34" xfId="0" applyFont="1" applyFill="1" applyBorder="1"/>
    <xf numFmtId="0" fontId="34" fillId="12" borderId="35" xfId="0" applyFont="1" applyFill="1" applyBorder="1"/>
    <xf numFmtId="0" fontId="34" fillId="14" borderId="18" xfId="0" applyFont="1" applyFill="1" applyBorder="1"/>
    <xf numFmtId="0" fontId="33" fillId="4" borderId="16" xfId="0" applyFont="1" applyFill="1" applyBorder="1"/>
    <xf numFmtId="0" fontId="33" fillId="4" borderId="17" xfId="0" applyFont="1" applyFill="1" applyBorder="1"/>
    <xf numFmtId="0" fontId="2" fillId="10" borderId="22" xfId="0" applyFont="1" applyFill="1" applyBorder="1"/>
    <xf numFmtId="0" fontId="2" fillId="10" borderId="0" xfId="0" applyFont="1" applyFill="1" applyBorder="1"/>
    <xf numFmtId="0" fontId="0" fillId="10" borderId="24" xfId="0" applyFill="1" applyBorder="1"/>
    <xf numFmtId="0" fontId="0" fillId="11" borderId="0" xfId="0" applyFill="1"/>
    <xf numFmtId="0" fontId="18" fillId="11" borderId="0" xfId="0" applyFont="1" applyFill="1" applyBorder="1" applyAlignment="1">
      <alignment horizontal="right" vertical="center"/>
    </xf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0" fontId="35" fillId="0" borderId="0" xfId="0" applyFont="1" applyBorder="1"/>
    <xf numFmtId="0" fontId="36" fillId="0" borderId="0" xfId="0" applyFont="1" applyBorder="1"/>
    <xf numFmtId="0" fontId="4" fillId="0" borderId="22" xfId="0" applyFont="1" applyBorder="1"/>
    <xf numFmtId="0" fontId="30" fillId="11" borderId="0" xfId="3" applyFont="1" applyFill="1" applyBorder="1" applyAlignment="1"/>
    <xf numFmtId="0" fontId="3" fillId="16" borderId="6" xfId="0" applyFont="1" applyFill="1" applyBorder="1"/>
    <xf numFmtId="0" fontId="7" fillId="16" borderId="7" xfId="0" applyFont="1" applyFill="1" applyBorder="1"/>
    <xf numFmtId="0" fontId="3" fillId="16" borderId="8" xfId="0" applyFont="1" applyFill="1" applyBorder="1"/>
    <xf numFmtId="164" fontId="3" fillId="16" borderId="8" xfId="0" applyNumberFormat="1" applyFont="1" applyFill="1" applyBorder="1"/>
    <xf numFmtId="1" fontId="3" fillId="16" borderId="9" xfId="0" applyNumberFormat="1" applyFont="1" applyFill="1" applyBorder="1"/>
    <xf numFmtId="9" fontId="3" fillId="16" borderId="10" xfId="1" applyFont="1" applyFill="1" applyBorder="1"/>
    <xf numFmtId="0" fontId="4" fillId="0" borderId="8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0" fillId="12" borderId="22" xfId="0" applyFill="1" applyBorder="1"/>
    <xf numFmtId="0" fontId="36" fillId="12" borderId="0" xfId="0" applyFont="1" applyFill="1" applyBorder="1"/>
    <xf numFmtId="0" fontId="13" fillId="12" borderId="0" xfId="0" applyFont="1" applyFill="1" applyBorder="1"/>
    <xf numFmtId="0" fontId="4" fillId="12" borderId="0" xfId="0" applyFont="1" applyFill="1" applyBorder="1"/>
    <xf numFmtId="0" fontId="4" fillId="12" borderId="1" xfId="2" applyFont="1" applyFill="1" applyBorder="1"/>
    <xf numFmtId="0" fontId="4" fillId="12" borderId="3" xfId="2" applyFont="1" applyFill="1" applyBorder="1"/>
    <xf numFmtId="0" fontId="4" fillId="12" borderId="6" xfId="2" applyFont="1" applyFill="1" applyBorder="1"/>
    <xf numFmtId="0" fontId="4" fillId="12" borderId="8" xfId="2" applyFont="1" applyFill="1" applyBorder="1"/>
    <xf numFmtId="0" fontId="4" fillId="12" borderId="8" xfId="2" applyFont="1" applyFill="1" applyBorder="1" applyAlignment="1">
      <alignment horizontal="center" vertical="center"/>
    </xf>
    <xf numFmtId="0" fontId="4" fillId="12" borderId="8" xfId="2" applyFont="1" applyFill="1" applyBorder="1" applyAlignment="1">
      <alignment horizontal="left" vertical="center"/>
    </xf>
    <xf numFmtId="0" fontId="4" fillId="12" borderId="11" xfId="2" applyFont="1" applyFill="1" applyBorder="1"/>
    <xf numFmtId="0" fontId="4" fillId="12" borderId="13" xfId="2" applyFont="1" applyFill="1" applyBorder="1"/>
    <xf numFmtId="0" fontId="4" fillId="12" borderId="13" xfId="2" applyFont="1" applyFill="1" applyBorder="1" applyAlignment="1">
      <alignment horizontal="center" vertical="center"/>
    </xf>
    <xf numFmtId="0" fontId="4" fillId="12" borderId="13" xfId="2" applyFont="1" applyFill="1" applyBorder="1" applyAlignment="1">
      <alignment horizontal="left" vertical="center"/>
    </xf>
    <xf numFmtId="0" fontId="3" fillId="0" borderId="34" xfId="0" applyFont="1" applyBorder="1"/>
    <xf numFmtId="0" fontId="18" fillId="0" borderId="33" xfId="0" applyFont="1" applyBorder="1"/>
    <xf numFmtId="0" fontId="4" fillId="0" borderId="6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6" xfId="2" applyFont="1" applyBorder="1" applyAlignment="1">
      <alignment horizontal="right" vertical="center"/>
    </xf>
    <xf numFmtId="0" fontId="4" fillId="0" borderId="36" xfId="2" applyFont="1" applyBorder="1"/>
    <xf numFmtId="0" fontId="4" fillId="0" borderId="37" xfId="2" applyFont="1" applyBorder="1"/>
    <xf numFmtId="0" fontId="4" fillId="0" borderId="37" xfId="2" applyFont="1" applyBorder="1" applyAlignment="1">
      <alignment horizontal="center" vertical="center"/>
    </xf>
    <xf numFmtId="0" fontId="4" fillId="0" borderId="37" xfId="2" applyFont="1" applyBorder="1" applyAlignment="1">
      <alignment horizontal="left" vertical="center"/>
    </xf>
    <xf numFmtId="0" fontId="38" fillId="0" borderId="39" xfId="2" applyFont="1" applyBorder="1" applyAlignment="1">
      <alignment horizontal="left"/>
    </xf>
    <xf numFmtId="0" fontId="38" fillId="0" borderId="17" xfId="2" applyFont="1" applyBorder="1" applyAlignment="1">
      <alignment horizontal="left"/>
    </xf>
    <xf numFmtId="0" fontId="4" fillId="0" borderId="9" xfId="2" applyFont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0" fontId="4" fillId="0" borderId="0" xfId="2" applyFont="1" applyBorder="1"/>
    <xf numFmtId="0" fontId="4" fillId="0" borderId="0" xfId="2" applyFont="1" applyBorder="1" applyAlignment="1">
      <alignment horizontal="center" vertical="center"/>
    </xf>
    <xf numFmtId="0" fontId="4" fillId="0" borderId="0" xfId="2" applyFont="1" applyBorder="1" applyAlignment="1">
      <alignment horizontal="left" vertical="center"/>
    </xf>
    <xf numFmtId="0" fontId="36" fillId="0" borderId="0" xfId="2" applyFont="1" applyBorder="1" applyAlignment="1">
      <alignment horizontal="left" vertical="center"/>
    </xf>
    <xf numFmtId="0" fontId="4" fillId="0" borderId="0" xfId="2" applyFont="1" applyBorder="1" applyAlignment="1">
      <alignment horizontal="left"/>
    </xf>
    <xf numFmtId="0" fontId="7" fillId="0" borderId="33" xfId="0" applyFont="1" applyBorder="1"/>
    <xf numFmtId="0" fontId="38" fillId="0" borderId="9" xfId="2" applyFont="1" applyBorder="1" applyAlignment="1">
      <alignment horizontal="left"/>
    </xf>
    <xf numFmtId="0" fontId="38" fillId="0" borderId="7" xfId="2" applyFont="1" applyBorder="1" applyAlignment="1">
      <alignment horizontal="left"/>
    </xf>
    <xf numFmtId="0" fontId="36" fillId="0" borderId="9" xfId="2" applyFont="1" applyBorder="1" applyAlignment="1">
      <alignment vertical="center"/>
    </xf>
    <xf numFmtId="0" fontId="36" fillId="0" borderId="45" xfId="2" applyFont="1" applyBorder="1" applyAlignment="1">
      <alignment vertical="center"/>
    </xf>
    <xf numFmtId="0" fontId="36" fillId="0" borderId="46" xfId="2" applyFont="1" applyBorder="1" applyAlignment="1">
      <alignment vertical="center"/>
    </xf>
    <xf numFmtId="0" fontId="39" fillId="0" borderId="8" xfId="0" applyFont="1" applyBorder="1" applyAlignment="1">
      <alignment horizontal="center" vertical="center"/>
    </xf>
    <xf numFmtId="0" fontId="38" fillId="0" borderId="0" xfId="2" applyFont="1" applyBorder="1" applyAlignment="1">
      <alignment horizontal="left"/>
    </xf>
    <xf numFmtId="0" fontId="4" fillId="17" borderId="6" xfId="2" applyFont="1" applyFill="1" applyBorder="1"/>
    <xf numFmtId="0" fontId="4" fillId="17" borderId="8" xfId="2" applyFont="1" applyFill="1" applyBorder="1"/>
    <xf numFmtId="0" fontId="4" fillId="17" borderId="8" xfId="2" applyFont="1" applyFill="1" applyBorder="1" applyAlignment="1">
      <alignment horizontal="center" vertical="center"/>
    </xf>
    <xf numFmtId="0" fontId="4" fillId="17" borderId="8" xfId="2" applyFont="1" applyFill="1" applyBorder="1" applyAlignment="1">
      <alignment horizontal="left" vertical="center"/>
    </xf>
    <xf numFmtId="0" fontId="0" fillId="18" borderId="22" xfId="0" applyFill="1" applyBorder="1"/>
    <xf numFmtId="0" fontId="4" fillId="18" borderId="6" xfId="2" applyFont="1" applyFill="1" applyBorder="1"/>
    <xf numFmtId="0" fontId="4" fillId="18" borderId="8" xfId="2" applyFont="1" applyFill="1" applyBorder="1"/>
    <xf numFmtId="0" fontId="38" fillId="18" borderId="9" xfId="2" applyFont="1" applyFill="1" applyBorder="1" applyAlignment="1">
      <alignment horizontal="left"/>
    </xf>
    <xf numFmtId="0" fontId="38" fillId="18" borderId="7" xfId="2" applyFont="1" applyFill="1" applyBorder="1" applyAlignment="1">
      <alignment horizontal="left"/>
    </xf>
    <xf numFmtId="0" fontId="4" fillId="18" borderId="8" xfId="2" applyFont="1" applyFill="1" applyBorder="1" applyAlignment="1">
      <alignment horizontal="center" vertical="center"/>
    </xf>
    <xf numFmtId="0" fontId="4" fillId="18" borderId="37" xfId="2" applyFont="1" applyFill="1" applyBorder="1" applyAlignment="1">
      <alignment horizontal="left" vertical="center"/>
    </xf>
    <xf numFmtId="0" fontId="0" fillId="18" borderId="23" xfId="0" applyFill="1" applyBorder="1"/>
    <xf numFmtId="0" fontId="0" fillId="18" borderId="0" xfId="0" applyFill="1"/>
    <xf numFmtId="0" fontId="13" fillId="18" borderId="0" xfId="0" applyFont="1" applyFill="1" applyBorder="1"/>
    <xf numFmtId="0" fontId="0" fillId="18" borderId="0" xfId="0" applyFill="1" applyBorder="1"/>
    <xf numFmtId="0" fontId="18" fillId="18" borderId="33" xfId="0" applyFont="1" applyFill="1" applyBorder="1"/>
    <xf numFmtId="0" fontId="0" fillId="18" borderId="34" xfId="0" applyFill="1" applyBorder="1"/>
    <xf numFmtId="0" fontId="0" fillId="18" borderId="35" xfId="0" applyFill="1" applyBorder="1"/>
    <xf numFmtId="0" fontId="4" fillId="18" borderId="0" xfId="0" applyFont="1" applyFill="1" applyBorder="1"/>
    <xf numFmtId="0" fontId="4" fillId="18" borderId="1" xfId="2" applyFont="1" applyFill="1" applyBorder="1"/>
    <xf numFmtId="0" fontId="4" fillId="18" borderId="3" xfId="2" applyFont="1" applyFill="1" applyBorder="1"/>
    <xf numFmtId="0" fontId="4" fillId="18" borderId="6" xfId="2" applyFont="1" applyFill="1" applyBorder="1" applyAlignment="1">
      <alignment horizontal="right" vertical="center"/>
    </xf>
    <xf numFmtId="0" fontId="4" fillId="18" borderId="8" xfId="2" applyFont="1" applyFill="1" applyBorder="1" applyAlignment="1">
      <alignment vertical="center"/>
    </xf>
    <xf numFmtId="0" fontId="4" fillId="18" borderId="36" xfId="2" applyFont="1" applyFill="1" applyBorder="1"/>
    <xf numFmtId="0" fontId="4" fillId="18" borderId="37" xfId="2" applyFont="1" applyFill="1" applyBorder="1"/>
    <xf numFmtId="0" fontId="38" fillId="18" borderId="39" xfId="2" applyFont="1" applyFill="1" applyBorder="1" applyAlignment="1">
      <alignment horizontal="left"/>
    </xf>
    <xf numFmtId="0" fontId="38" fillId="18" borderId="17" xfId="2" applyFont="1" applyFill="1" applyBorder="1" applyAlignment="1">
      <alignment horizontal="left"/>
    </xf>
    <xf numFmtId="0" fontId="4" fillId="18" borderId="37" xfId="2" applyFont="1" applyFill="1" applyBorder="1" applyAlignment="1">
      <alignment horizontal="center" vertical="center"/>
    </xf>
    <xf numFmtId="0" fontId="4" fillId="18" borderId="11" xfId="2" applyFont="1" applyFill="1" applyBorder="1"/>
    <xf numFmtId="0" fontId="4" fillId="18" borderId="13" xfId="2" applyFont="1" applyFill="1" applyBorder="1"/>
    <xf numFmtId="0" fontId="4" fillId="18" borderId="13" xfId="2" applyFont="1" applyFill="1" applyBorder="1" applyAlignment="1">
      <alignment horizontal="center" vertical="center"/>
    </xf>
    <xf numFmtId="0" fontId="4" fillId="18" borderId="13" xfId="2" applyFont="1" applyFill="1" applyBorder="1" applyAlignment="1">
      <alignment horizontal="left" vertical="center"/>
    </xf>
    <xf numFmtId="0" fontId="4" fillId="18" borderId="8" xfId="2" applyFont="1" applyFill="1" applyBorder="1" applyAlignment="1">
      <alignment horizontal="left" vertical="center"/>
    </xf>
    <xf numFmtId="0" fontId="34" fillId="3" borderId="33" xfId="0" applyFont="1" applyFill="1" applyBorder="1"/>
    <xf numFmtId="0" fontId="34" fillId="3" borderId="34" xfId="0" applyFont="1" applyFill="1" applyBorder="1"/>
    <xf numFmtId="0" fontId="34" fillId="3" borderId="35" xfId="0" applyFont="1" applyFill="1" applyBorder="1"/>
    <xf numFmtId="0" fontId="4" fillId="18" borderId="9" xfId="2" applyFont="1" applyFill="1" applyBorder="1" applyAlignment="1">
      <alignment horizontal="center" vertical="center"/>
    </xf>
    <xf numFmtId="0" fontId="8" fillId="0" borderId="0" xfId="0" applyFont="1" applyBorder="1"/>
    <xf numFmtId="0" fontId="7" fillId="0" borderId="0" xfId="0" applyFont="1" applyBorder="1"/>
    <xf numFmtId="0" fontId="9" fillId="0" borderId="2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9" fillId="0" borderId="2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4" fontId="3" fillId="4" borderId="27" xfId="0" applyNumberFormat="1" applyFont="1" applyFill="1" applyBorder="1" applyAlignment="1">
      <alignment horizontal="center" vertical="center"/>
    </xf>
    <xf numFmtId="14" fontId="3" fillId="4" borderId="14" xfId="0" applyNumberFormat="1" applyFont="1" applyFill="1" applyBorder="1" applyAlignment="1">
      <alignment horizontal="center" vertical="center"/>
    </xf>
    <xf numFmtId="14" fontId="3" fillId="4" borderId="28" xfId="0" applyNumberFormat="1" applyFont="1" applyFill="1" applyBorder="1" applyAlignment="1">
      <alignment horizontal="center" vertical="center"/>
    </xf>
    <xf numFmtId="0" fontId="27" fillId="15" borderId="19" xfId="0" applyFont="1" applyFill="1" applyBorder="1" applyAlignment="1">
      <alignment horizontal="center" vertical="center"/>
    </xf>
    <xf numFmtId="0" fontId="27" fillId="15" borderId="20" xfId="0" applyFont="1" applyFill="1" applyBorder="1" applyAlignment="1">
      <alignment horizontal="center" vertical="center"/>
    </xf>
    <xf numFmtId="0" fontId="27" fillId="15" borderId="21" xfId="0" applyFont="1" applyFill="1" applyBorder="1" applyAlignment="1">
      <alignment horizontal="center" vertical="center"/>
    </xf>
    <xf numFmtId="0" fontId="27" fillId="15" borderId="22" xfId="0" applyFont="1" applyFill="1" applyBorder="1" applyAlignment="1">
      <alignment horizontal="center" vertical="center"/>
    </xf>
    <xf numFmtId="0" fontId="27" fillId="15" borderId="0" xfId="0" applyFont="1" applyFill="1" applyBorder="1" applyAlignment="1">
      <alignment horizontal="center" vertical="center"/>
    </xf>
    <xf numFmtId="0" fontId="27" fillId="15" borderId="23" xfId="0" applyFont="1" applyFill="1" applyBorder="1" applyAlignment="1">
      <alignment horizontal="center" vertical="center"/>
    </xf>
    <xf numFmtId="0" fontId="27" fillId="15" borderId="24" xfId="0" applyFont="1" applyFill="1" applyBorder="1" applyAlignment="1">
      <alignment horizontal="center" vertical="center"/>
    </xf>
    <xf numFmtId="0" fontId="27" fillId="15" borderId="25" xfId="0" applyFont="1" applyFill="1" applyBorder="1" applyAlignment="1">
      <alignment horizontal="center" vertical="center"/>
    </xf>
    <xf numFmtId="0" fontId="27" fillId="15" borderId="26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0" fillId="13" borderId="0" xfId="3" applyFont="1" applyFill="1" applyBorder="1" applyAlignment="1">
      <alignment horizontal="center"/>
    </xf>
    <xf numFmtId="0" fontId="31" fillId="13" borderId="0" xfId="3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37" fillId="13" borderId="0" xfId="3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4" fillId="18" borderId="4" xfId="2" applyFont="1" applyFill="1" applyBorder="1" applyAlignment="1">
      <alignment horizontal="left"/>
    </xf>
    <xf numFmtId="0" fontId="4" fillId="18" borderId="2" xfId="2" applyFont="1" applyFill="1" applyBorder="1" applyAlignment="1">
      <alignment horizontal="left"/>
    </xf>
    <xf numFmtId="0" fontId="4" fillId="18" borderId="3" xfId="2" applyFont="1" applyFill="1" applyBorder="1" applyAlignment="1">
      <alignment horizontal="center"/>
    </xf>
    <xf numFmtId="0" fontId="4" fillId="18" borderId="5" xfId="2" applyFont="1" applyFill="1" applyBorder="1" applyAlignment="1">
      <alignment horizontal="center"/>
    </xf>
    <xf numFmtId="0" fontId="38" fillId="18" borderId="9" xfId="2" applyFont="1" applyFill="1" applyBorder="1" applyAlignment="1">
      <alignment horizontal="left" vertical="center"/>
    </xf>
    <xf numFmtId="0" fontId="38" fillId="18" borderId="7" xfId="2" applyFont="1" applyFill="1" applyBorder="1" applyAlignment="1">
      <alignment horizontal="left" vertical="center"/>
    </xf>
    <xf numFmtId="0" fontId="36" fillId="18" borderId="8" xfId="2" applyFont="1" applyFill="1" applyBorder="1" applyAlignment="1">
      <alignment horizontal="left" vertical="center" wrapText="1"/>
    </xf>
    <xf numFmtId="0" fontId="36" fillId="18" borderId="8" xfId="2" applyFont="1" applyFill="1" applyBorder="1" applyAlignment="1">
      <alignment horizontal="left" vertical="center"/>
    </xf>
    <xf numFmtId="0" fontId="36" fillId="18" borderId="10" xfId="2" applyFont="1" applyFill="1" applyBorder="1" applyAlignment="1">
      <alignment horizontal="left" vertical="center"/>
    </xf>
    <xf numFmtId="0" fontId="4" fillId="18" borderId="14" xfId="2" applyFont="1" applyFill="1" applyBorder="1" applyAlignment="1">
      <alignment horizontal="left"/>
    </xf>
    <xf numFmtId="0" fontId="4" fillId="18" borderId="12" xfId="2" applyFont="1" applyFill="1" applyBorder="1" applyAlignment="1">
      <alignment horizontal="left"/>
    </xf>
    <xf numFmtId="0" fontId="36" fillId="18" borderId="13" xfId="2" applyFont="1" applyFill="1" applyBorder="1" applyAlignment="1">
      <alignment horizontal="left" vertical="center"/>
    </xf>
    <xf numFmtId="0" fontId="36" fillId="18" borderId="15" xfId="2" applyFont="1" applyFill="1" applyBorder="1" applyAlignment="1">
      <alignment horizontal="left" vertical="center"/>
    </xf>
    <xf numFmtId="0" fontId="38" fillId="18" borderId="9" xfId="2" applyFont="1" applyFill="1" applyBorder="1" applyAlignment="1">
      <alignment horizontal="left"/>
    </xf>
    <xf numFmtId="0" fontId="38" fillId="18" borderId="7" xfId="2" applyFont="1" applyFill="1" applyBorder="1" applyAlignment="1">
      <alignment horizontal="left"/>
    </xf>
    <xf numFmtId="0" fontId="36" fillId="0" borderId="8" xfId="2" applyFont="1" applyBorder="1" applyAlignment="1">
      <alignment horizontal="left" vertical="center"/>
    </xf>
    <xf numFmtId="0" fontId="36" fillId="0" borderId="10" xfId="2" applyFont="1" applyBorder="1" applyAlignment="1">
      <alignment horizontal="left" vertical="center"/>
    </xf>
    <xf numFmtId="0" fontId="36" fillId="0" borderId="9" xfId="2" applyFont="1" applyBorder="1" applyAlignment="1">
      <alignment horizontal="left" vertical="center"/>
    </xf>
    <xf numFmtId="0" fontId="36" fillId="0" borderId="45" xfId="2" applyFont="1" applyBorder="1" applyAlignment="1">
      <alignment horizontal="left" vertical="center"/>
    </xf>
    <xf numFmtId="0" fontId="36" fillId="0" borderId="46" xfId="2" applyFont="1" applyBorder="1" applyAlignment="1">
      <alignment horizontal="left" vertical="center"/>
    </xf>
    <xf numFmtId="0" fontId="4" fillId="0" borderId="14" xfId="2" applyFont="1" applyBorder="1" applyAlignment="1">
      <alignment horizontal="left"/>
    </xf>
    <xf numFmtId="0" fontId="4" fillId="0" borderId="12" xfId="2" applyFont="1" applyBorder="1" applyAlignment="1">
      <alignment horizontal="left"/>
    </xf>
    <xf numFmtId="0" fontId="36" fillId="0" borderId="13" xfId="2" applyFont="1" applyBorder="1" applyAlignment="1">
      <alignment horizontal="left" vertical="center"/>
    </xf>
    <xf numFmtId="0" fontId="36" fillId="0" borderId="15" xfId="2" applyFont="1" applyBorder="1" applyAlignment="1">
      <alignment horizontal="left" vertical="center"/>
    </xf>
    <xf numFmtId="0" fontId="38" fillId="0" borderId="9" xfId="2" applyFont="1" applyBorder="1" applyAlignment="1">
      <alignment horizontal="left"/>
    </xf>
    <xf numFmtId="0" fontId="38" fillId="0" borderId="7" xfId="2" applyFont="1" applyBorder="1" applyAlignment="1">
      <alignment horizontal="left"/>
    </xf>
    <xf numFmtId="0" fontId="36" fillId="0" borderId="9" xfId="2" applyFont="1" applyBorder="1" applyAlignment="1">
      <alignment horizontal="center" vertical="center"/>
    </xf>
    <xf numFmtId="0" fontId="36" fillId="0" borderId="45" xfId="2" applyFont="1" applyBorder="1" applyAlignment="1">
      <alignment horizontal="center" vertical="center"/>
    </xf>
    <xf numFmtId="0" fontId="36" fillId="0" borderId="46" xfId="2" applyFont="1" applyBorder="1" applyAlignment="1">
      <alignment horizontal="center" vertical="center"/>
    </xf>
    <xf numFmtId="0" fontId="36" fillId="0" borderId="8" xfId="2" applyFont="1" applyBorder="1" applyAlignment="1">
      <alignment horizontal="left" vertical="center" wrapText="1"/>
    </xf>
    <xf numFmtId="0" fontId="4" fillId="5" borderId="4" xfId="2" applyFont="1" applyFill="1" applyBorder="1" applyAlignment="1">
      <alignment horizontal="left"/>
    </xf>
    <xf numFmtId="0" fontId="4" fillId="5" borderId="2" xfId="2" applyFont="1" applyFill="1" applyBorder="1" applyAlignment="1">
      <alignment horizontal="left"/>
    </xf>
    <xf numFmtId="0" fontId="4" fillId="5" borderId="3" xfId="2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38" fillId="0" borderId="9" xfId="2" applyFont="1" applyBorder="1" applyAlignment="1">
      <alignment horizontal="left" vertical="center"/>
    </xf>
    <xf numFmtId="0" fontId="38" fillId="0" borderId="7" xfId="2" applyFont="1" applyBorder="1" applyAlignment="1">
      <alignment horizontal="left" vertical="center"/>
    </xf>
    <xf numFmtId="0" fontId="36" fillId="0" borderId="13" xfId="2" applyFont="1" applyBorder="1" applyAlignment="1">
      <alignment vertical="center"/>
    </xf>
    <xf numFmtId="0" fontId="36" fillId="0" borderId="15" xfId="2" applyFont="1" applyBorder="1" applyAlignment="1">
      <alignment vertical="center"/>
    </xf>
    <xf numFmtId="0" fontId="36" fillId="0" borderId="9" xfId="2" applyFont="1" applyBorder="1" applyAlignment="1">
      <alignment vertical="center"/>
    </xf>
    <xf numFmtId="0" fontId="36" fillId="0" borderId="45" xfId="2" applyFont="1" applyBorder="1" applyAlignment="1">
      <alignment vertical="center"/>
    </xf>
    <xf numFmtId="0" fontId="36" fillId="0" borderId="46" xfId="2" applyFont="1" applyBorder="1" applyAlignment="1">
      <alignment vertical="center"/>
    </xf>
    <xf numFmtId="0" fontId="36" fillId="0" borderId="8" xfId="2" applyFont="1" applyBorder="1" applyAlignment="1">
      <alignment vertical="center"/>
    </xf>
    <xf numFmtId="0" fontId="36" fillId="0" borderId="10" xfId="2" applyFont="1" applyBorder="1" applyAlignment="1">
      <alignment vertical="center"/>
    </xf>
    <xf numFmtId="0" fontId="36" fillId="18" borderId="39" xfId="2" applyFont="1" applyFill="1" applyBorder="1" applyAlignment="1">
      <alignment vertical="center"/>
    </xf>
    <xf numFmtId="0" fontId="36" fillId="18" borderId="16" xfId="2" applyFont="1" applyFill="1" applyBorder="1" applyAlignment="1">
      <alignment vertical="center"/>
    </xf>
    <xf numFmtId="0" fontId="36" fillId="18" borderId="30" xfId="2" applyFont="1" applyFill="1" applyBorder="1" applyAlignment="1">
      <alignment vertical="center"/>
    </xf>
    <xf numFmtId="0" fontId="36" fillId="18" borderId="9" xfId="2" applyFont="1" applyFill="1" applyBorder="1" applyAlignment="1">
      <alignment vertical="center"/>
    </xf>
    <xf numFmtId="0" fontId="36" fillId="18" borderId="45" xfId="2" applyFont="1" applyFill="1" applyBorder="1" applyAlignment="1">
      <alignment vertical="center"/>
    </xf>
    <xf numFmtId="0" fontId="36" fillId="18" borderId="46" xfId="2" applyFont="1" applyFill="1" applyBorder="1" applyAlignment="1">
      <alignment vertical="center"/>
    </xf>
    <xf numFmtId="0" fontId="36" fillId="0" borderId="8" xfId="2" applyFont="1" applyBorder="1" applyAlignment="1">
      <alignment vertical="top" wrapText="1"/>
    </xf>
    <xf numFmtId="0" fontId="36" fillId="0" borderId="8" xfId="2" applyFont="1" applyBorder="1" applyAlignment="1">
      <alignment vertical="top"/>
    </xf>
    <xf numFmtId="0" fontId="36" fillId="0" borderId="10" xfId="2" applyFont="1" applyBorder="1" applyAlignment="1">
      <alignment vertical="top"/>
    </xf>
    <xf numFmtId="0" fontId="38" fillId="0" borderId="14" xfId="2" applyFont="1" applyBorder="1" applyAlignment="1">
      <alignment horizontal="left"/>
    </xf>
    <xf numFmtId="0" fontId="38" fillId="0" borderId="12" xfId="2" applyFont="1" applyBorder="1" applyAlignment="1">
      <alignment horizontal="left"/>
    </xf>
    <xf numFmtId="0" fontId="36" fillId="0" borderId="42" xfId="2" applyFont="1" applyBorder="1" applyAlignment="1">
      <alignment horizontal="left" vertical="center" wrapText="1"/>
    </xf>
    <xf numFmtId="0" fontId="36" fillId="0" borderId="42" xfId="2" applyFont="1" applyBorder="1" applyAlignment="1">
      <alignment horizontal="left" vertical="center"/>
    </xf>
    <xf numFmtId="0" fontId="36" fillId="0" borderId="44" xfId="2" applyFont="1" applyBorder="1" applyAlignment="1">
      <alignment horizontal="left" vertical="center"/>
    </xf>
    <xf numFmtId="0" fontId="36" fillId="0" borderId="39" xfId="2" applyFont="1" applyBorder="1" applyAlignment="1">
      <alignment horizontal="left" vertical="center"/>
    </xf>
    <xf numFmtId="0" fontId="36" fillId="0" borderId="16" xfId="2" applyFont="1" applyBorder="1" applyAlignment="1">
      <alignment horizontal="left" vertical="center"/>
    </xf>
    <xf numFmtId="0" fontId="36" fillId="0" borderId="30" xfId="2" applyFont="1" applyBorder="1" applyAlignment="1">
      <alignment horizontal="left" vertical="center"/>
    </xf>
    <xf numFmtId="0" fontId="36" fillId="0" borderId="43" xfId="2" applyFont="1" applyBorder="1" applyAlignment="1">
      <alignment horizontal="left" vertical="center"/>
    </xf>
    <xf numFmtId="0" fontId="36" fillId="0" borderId="18" xfId="2" applyFont="1" applyBorder="1" applyAlignment="1">
      <alignment horizontal="left" vertical="center"/>
    </xf>
    <xf numFmtId="0" fontId="36" fillId="0" borderId="32" xfId="2" applyFont="1" applyBorder="1" applyAlignment="1">
      <alignment horizontal="left" vertical="center"/>
    </xf>
    <xf numFmtId="0" fontId="36" fillId="17" borderId="8" xfId="2" applyFont="1" applyFill="1" applyBorder="1" applyAlignment="1">
      <alignment horizontal="left" vertical="center"/>
    </xf>
    <xf numFmtId="0" fontId="36" fillId="17" borderId="10" xfId="2" applyFont="1" applyFill="1" applyBorder="1" applyAlignment="1">
      <alignment horizontal="left" vertical="center"/>
    </xf>
    <xf numFmtId="0" fontId="38" fillId="17" borderId="9" xfId="2" applyFont="1" applyFill="1" applyBorder="1" applyAlignment="1">
      <alignment horizontal="left"/>
    </xf>
    <xf numFmtId="0" fontId="38" fillId="17" borderId="7" xfId="2" applyFont="1" applyFill="1" applyBorder="1" applyAlignment="1">
      <alignment horizontal="left"/>
    </xf>
    <xf numFmtId="0" fontId="4" fillId="12" borderId="9" xfId="2" applyFont="1" applyFill="1" applyBorder="1" applyAlignment="1">
      <alignment horizontal="left"/>
    </xf>
    <xf numFmtId="0" fontId="4" fillId="12" borderId="7" xfId="2" applyFont="1" applyFill="1" applyBorder="1" applyAlignment="1">
      <alignment horizontal="left"/>
    </xf>
    <xf numFmtId="0" fontId="36" fillId="12" borderId="8" xfId="2" applyFont="1" applyFill="1" applyBorder="1" applyAlignment="1">
      <alignment horizontal="left" vertical="center"/>
    </xf>
    <xf numFmtId="0" fontId="36" fillId="12" borderId="10" xfId="2" applyFont="1" applyFill="1" applyBorder="1" applyAlignment="1">
      <alignment horizontal="left" vertical="center"/>
    </xf>
    <xf numFmtId="0" fontId="4" fillId="12" borderId="14" xfId="2" applyFont="1" applyFill="1" applyBorder="1" applyAlignment="1">
      <alignment horizontal="left"/>
    </xf>
    <xf numFmtId="0" fontId="4" fillId="12" borderId="12" xfId="2" applyFont="1" applyFill="1" applyBorder="1" applyAlignment="1">
      <alignment horizontal="left"/>
    </xf>
    <xf numFmtId="0" fontId="36" fillId="12" borderId="13" xfId="2" applyFont="1" applyFill="1" applyBorder="1" applyAlignment="1">
      <alignment horizontal="left" vertical="center"/>
    </xf>
    <xf numFmtId="0" fontId="36" fillId="12" borderId="15" xfId="2" applyFont="1" applyFill="1" applyBorder="1" applyAlignment="1">
      <alignment horizontal="left" vertical="center"/>
    </xf>
    <xf numFmtId="0" fontId="4" fillId="12" borderId="4" xfId="2" applyFont="1" applyFill="1" applyBorder="1" applyAlignment="1">
      <alignment horizontal="left"/>
    </xf>
    <xf numFmtId="0" fontId="4" fillId="12" borderId="2" xfId="2" applyFont="1" applyFill="1" applyBorder="1" applyAlignment="1">
      <alignment horizontal="left"/>
    </xf>
    <xf numFmtId="0" fontId="4" fillId="12" borderId="3" xfId="2" applyFont="1" applyFill="1" applyBorder="1" applyAlignment="1">
      <alignment horizontal="center"/>
    </xf>
    <xf numFmtId="0" fontId="4" fillId="12" borderId="5" xfId="2" applyFont="1" applyFill="1" applyBorder="1" applyAlignment="1">
      <alignment horizontal="center"/>
    </xf>
    <xf numFmtId="0" fontId="4" fillId="0" borderId="9" xfId="2" applyFont="1" applyBorder="1" applyAlignment="1">
      <alignment horizontal="left"/>
    </xf>
    <xf numFmtId="0" fontId="4" fillId="0" borderId="7" xfId="2" applyFont="1" applyBorder="1" applyAlignment="1">
      <alignment horizontal="left"/>
    </xf>
    <xf numFmtId="0" fontId="38" fillId="0" borderId="9" xfId="2" applyFont="1" applyBorder="1" applyAlignment="1"/>
    <xf numFmtId="0" fontId="38" fillId="0" borderId="7" xfId="2" applyFont="1" applyBorder="1" applyAlignment="1"/>
    <xf numFmtId="0" fontId="36" fillId="18" borderId="42" xfId="2" applyFont="1" applyFill="1" applyBorder="1" applyAlignment="1">
      <alignment horizontal="left" vertical="center" wrapText="1"/>
    </xf>
    <xf numFmtId="0" fontId="36" fillId="18" borderId="42" xfId="2" applyFont="1" applyFill="1" applyBorder="1" applyAlignment="1">
      <alignment horizontal="left" vertical="center"/>
    </xf>
    <xf numFmtId="0" fontId="36" fillId="18" borderId="44" xfId="2" applyFont="1" applyFill="1" applyBorder="1" applyAlignment="1">
      <alignment horizontal="left" vertical="center"/>
    </xf>
    <xf numFmtId="0" fontId="4" fillId="0" borderId="47" xfId="2" applyFont="1" applyFill="1" applyBorder="1"/>
  </cellXfs>
  <cellStyles count="4">
    <cellStyle name="Hyperlink" xfId="3" builtinId="8"/>
    <cellStyle name="Normal" xfId="0" builtinId="0"/>
    <cellStyle name="Normal 2" xfId="2" xr:uid="{76F8BE7E-A17D-4841-8708-19CACA6073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622300</xdr:colOff>
      <xdr:row>10</xdr:row>
      <xdr:rowOff>101600</xdr:rowOff>
    </xdr:from>
    <xdr:to>
      <xdr:col>9</xdr:col>
      <xdr:colOff>50800</xdr:colOff>
      <xdr:row>23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E9AB9-086D-3949-9E93-78DC58997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2133600"/>
          <a:ext cx="2730500" cy="273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88900</xdr:colOff>
      <xdr:row>24</xdr:row>
      <xdr:rowOff>25400</xdr:rowOff>
    </xdr:from>
    <xdr:to>
      <xdr:col>14</xdr:col>
      <xdr:colOff>711200</xdr:colOff>
      <xdr:row>27</xdr:row>
      <xdr:rowOff>177800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5AD2A38-EEB3-DF45-BD2E-513C909C074B}"/>
            </a:ext>
          </a:extLst>
        </xdr:cNvPr>
        <xdr:cNvSpPr/>
      </xdr:nvSpPr>
      <xdr:spPr>
        <a:xfrm>
          <a:off x="10820400" y="5715000"/>
          <a:ext cx="1536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</a:t>
          </a:r>
        </a:p>
      </xdr:txBody>
    </xdr:sp>
    <xdr:clientData/>
  </xdr:twoCellAnchor>
  <xdr:twoCellAnchor>
    <xdr:from>
      <xdr:col>8</xdr:col>
      <xdr:colOff>241300</xdr:colOff>
      <xdr:row>32</xdr:row>
      <xdr:rowOff>152400</xdr:rowOff>
    </xdr:from>
    <xdr:to>
      <xdr:col>10</xdr:col>
      <xdr:colOff>38100</xdr:colOff>
      <xdr:row>36</xdr:row>
      <xdr:rowOff>101600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7CBCA0C-C353-1E48-9A49-0EDF02B3FF03}"/>
            </a:ext>
          </a:extLst>
        </xdr:cNvPr>
        <xdr:cNvSpPr/>
      </xdr:nvSpPr>
      <xdr:spPr>
        <a:xfrm>
          <a:off x="6845300" y="74803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Buy Coin</a:t>
          </a:r>
        </a:p>
      </xdr:txBody>
    </xdr:sp>
    <xdr:clientData/>
  </xdr:twoCellAnchor>
  <xdr:twoCellAnchor>
    <xdr:from>
      <xdr:col>8</xdr:col>
      <xdr:colOff>736600</xdr:colOff>
      <xdr:row>23</xdr:row>
      <xdr:rowOff>215900</xdr:rowOff>
    </xdr:from>
    <xdr:to>
      <xdr:col>9</xdr:col>
      <xdr:colOff>393700</xdr:colOff>
      <xdr:row>27</xdr:row>
      <xdr:rowOff>63500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BE352534-7782-FA40-9CF9-E3625A3000AC}"/>
            </a:ext>
          </a:extLst>
        </xdr:cNvPr>
        <xdr:cNvGrpSpPr/>
      </xdr:nvGrpSpPr>
      <xdr:grpSpPr>
        <a:xfrm>
          <a:off x="7340600" y="5600700"/>
          <a:ext cx="482600" cy="762000"/>
          <a:chOff x="8382000" y="5257800"/>
          <a:chExt cx="482600" cy="660400"/>
        </a:xfrm>
        <a:solidFill>
          <a:schemeClr val="tx1"/>
        </a:solidFill>
      </xdr:grpSpPr>
      <xdr:sp macro="" textlink="">
        <xdr:nvSpPr>
          <xdr:cNvPr id="18" name="Delay 17">
            <a:extLst>
              <a:ext uri="{FF2B5EF4-FFF2-40B4-BE49-F238E27FC236}">
                <a16:creationId xmlns:a16="http://schemas.microsoft.com/office/drawing/2014/main" id="{0274A826-C295-C448-B70F-8BD31CE246B5}"/>
              </a:ext>
            </a:extLst>
          </xdr:cNvPr>
          <xdr:cNvSpPr/>
        </xdr:nvSpPr>
        <xdr:spPr>
          <a:xfrm rot="16200000">
            <a:off x="8413750" y="5467350"/>
            <a:ext cx="419100" cy="482600"/>
          </a:xfrm>
          <a:prstGeom prst="flowChartDelay">
            <a:avLst/>
          </a:prstGeom>
          <a:grp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F627C2D7-8C1A-E84C-8145-511C3A6C5ECD}"/>
              </a:ext>
            </a:extLst>
          </xdr:cNvPr>
          <xdr:cNvSpPr/>
        </xdr:nvSpPr>
        <xdr:spPr>
          <a:xfrm>
            <a:off x="8470900" y="5257800"/>
            <a:ext cx="317500" cy="317500"/>
          </a:xfrm>
          <a:prstGeom prst="ellipse">
            <a:avLst/>
          </a:prstGeom>
          <a:grp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711200</xdr:colOff>
      <xdr:row>31</xdr:row>
      <xdr:rowOff>127000</xdr:rowOff>
    </xdr:from>
    <xdr:to>
      <xdr:col>12</xdr:col>
      <xdr:colOff>469900</xdr:colOff>
      <xdr:row>37</xdr:row>
      <xdr:rowOff>127000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A42FCE35-29D1-FC4E-AC45-BFDDE18E7FF6}"/>
            </a:ext>
          </a:extLst>
        </xdr:cNvPr>
        <xdr:cNvSpPr/>
      </xdr:nvSpPr>
      <xdr:spPr>
        <a:xfrm>
          <a:off x="8966200" y="7239000"/>
          <a:ext cx="1409700" cy="1295400"/>
        </a:xfrm>
        <a:prstGeom prst="diamon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aseline="0"/>
            <a:t>Coin?</a:t>
          </a:r>
          <a:endParaRPr lang="en-US" sz="1800"/>
        </a:p>
      </xdr:txBody>
    </xdr:sp>
    <xdr:clientData/>
  </xdr:twoCellAnchor>
  <xdr:twoCellAnchor>
    <xdr:from>
      <xdr:col>13</xdr:col>
      <xdr:colOff>831850</xdr:colOff>
      <xdr:row>27</xdr:row>
      <xdr:rowOff>177800</xdr:rowOff>
    </xdr:from>
    <xdr:to>
      <xdr:col>13</xdr:col>
      <xdr:colOff>857250</xdr:colOff>
      <xdr:row>36</xdr:row>
      <xdr:rowOff>165100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CD1FA6F-A9F8-F146-8E25-836F6EC50049}"/>
            </a:ext>
          </a:extLst>
        </xdr:cNvPr>
        <xdr:cNvCxnSpPr>
          <a:stCxn id="16" idx="2"/>
          <a:endCxn id="33" idx="0"/>
        </xdr:cNvCxnSpPr>
      </xdr:nvCxnSpPr>
      <xdr:spPr>
        <a:xfrm flipH="1">
          <a:off x="11563350" y="6477000"/>
          <a:ext cx="25400" cy="18796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34</xdr:row>
      <xdr:rowOff>101600</xdr:rowOff>
    </xdr:from>
    <xdr:to>
      <xdr:col>10</xdr:col>
      <xdr:colOff>711200</xdr:colOff>
      <xdr:row>34</xdr:row>
      <xdr:rowOff>101600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B4CFE9B-E97E-804F-86A1-221B3B42C424}"/>
            </a:ext>
          </a:extLst>
        </xdr:cNvPr>
        <xdr:cNvCxnSpPr>
          <a:stCxn id="22" idx="1"/>
          <a:endCxn id="17" idx="3"/>
        </xdr:cNvCxnSpPr>
      </xdr:nvCxnSpPr>
      <xdr:spPr>
        <a:xfrm flipH="1">
          <a:off x="8293100" y="7886700"/>
          <a:ext cx="67310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32</xdr:row>
      <xdr:rowOff>165100</xdr:rowOff>
    </xdr:from>
    <xdr:to>
      <xdr:col>4</xdr:col>
      <xdr:colOff>330200</xdr:colOff>
      <xdr:row>36</xdr:row>
      <xdr:rowOff>114300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A9322D-1A39-1F42-A7E3-5EC25226167A}"/>
            </a:ext>
          </a:extLst>
        </xdr:cNvPr>
        <xdr:cNvSpPr/>
      </xdr:nvSpPr>
      <xdr:spPr>
        <a:xfrm>
          <a:off x="2184400" y="61722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Check Request</a:t>
          </a:r>
        </a:p>
      </xdr:txBody>
    </xdr:sp>
    <xdr:clientData/>
  </xdr:twoCellAnchor>
  <xdr:twoCellAnchor>
    <xdr:from>
      <xdr:col>2</xdr:col>
      <xdr:colOff>508000</xdr:colOff>
      <xdr:row>22</xdr:row>
      <xdr:rowOff>165100</xdr:rowOff>
    </xdr:from>
    <xdr:to>
      <xdr:col>4</xdr:col>
      <xdr:colOff>368300</xdr:colOff>
      <xdr:row>29</xdr:row>
      <xdr:rowOff>76200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E975963E-D18E-5D42-A2D5-B9B839D72139}"/>
            </a:ext>
          </a:extLst>
        </xdr:cNvPr>
        <xdr:cNvSpPr/>
      </xdr:nvSpPr>
      <xdr:spPr>
        <a:xfrm>
          <a:off x="2159000" y="4127500"/>
          <a:ext cx="1511300" cy="1333500"/>
        </a:xfrm>
        <a:prstGeom prst="diamon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aseline="0"/>
            <a:t>Valid?</a:t>
          </a:r>
          <a:endParaRPr lang="en-US" sz="1800"/>
        </a:p>
      </xdr:txBody>
    </xdr:sp>
    <xdr:clientData/>
  </xdr:twoCellAnchor>
  <xdr:twoCellAnchor>
    <xdr:from>
      <xdr:col>5</xdr:col>
      <xdr:colOff>304800</xdr:colOff>
      <xdr:row>24</xdr:row>
      <xdr:rowOff>12700</xdr:rowOff>
    </xdr:from>
    <xdr:to>
      <xdr:col>7</xdr:col>
      <xdr:colOff>101600</xdr:colOff>
      <xdr:row>28</xdr:row>
      <xdr:rowOff>12700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304F716-F72A-A64F-A8CB-58C6B459D471}"/>
            </a:ext>
          </a:extLst>
        </xdr:cNvPr>
        <xdr:cNvSpPr/>
      </xdr:nvSpPr>
      <xdr:spPr>
        <a:xfrm>
          <a:off x="4432300" y="43815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accent4">
                  <a:lumMod val="60000"/>
                  <a:lumOff val="40000"/>
                </a:schemeClr>
              </a:solidFill>
            </a:rPr>
            <a:t>Add Coin</a:t>
          </a:r>
        </a:p>
      </xdr:txBody>
    </xdr:sp>
    <xdr:clientData/>
  </xdr:twoCellAnchor>
  <xdr:twoCellAnchor>
    <xdr:from>
      <xdr:col>0</xdr:col>
      <xdr:colOff>292100</xdr:colOff>
      <xdr:row>24</xdr:row>
      <xdr:rowOff>12700</xdr:rowOff>
    </xdr:from>
    <xdr:to>
      <xdr:col>2</xdr:col>
      <xdr:colOff>88900</xdr:colOff>
      <xdr:row>28</xdr:row>
      <xdr:rowOff>12700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983D4E2-4F2D-954A-8E52-4FCA8F933ECD}"/>
            </a:ext>
          </a:extLst>
        </xdr:cNvPr>
        <xdr:cNvSpPr/>
      </xdr:nvSpPr>
      <xdr:spPr>
        <a:xfrm>
          <a:off x="292100" y="43815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Reject</a:t>
          </a:r>
          <a:r>
            <a:rPr lang="en-US" sz="2000" b="1" baseline="0">
              <a:solidFill>
                <a:srgbClr val="FF0000"/>
              </a:solidFill>
            </a:rPr>
            <a:t> Request</a:t>
          </a:r>
          <a:endParaRPr 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330200</xdr:colOff>
      <xdr:row>34</xdr:row>
      <xdr:rowOff>101600</xdr:rowOff>
    </xdr:from>
    <xdr:to>
      <xdr:col>8</xdr:col>
      <xdr:colOff>241300</xdr:colOff>
      <xdr:row>34</xdr:row>
      <xdr:rowOff>114300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85C12BC-2970-8C44-9C97-9EC5B331A7E5}"/>
            </a:ext>
          </a:extLst>
        </xdr:cNvPr>
        <xdr:cNvCxnSpPr>
          <a:stCxn id="17" idx="1"/>
          <a:endCxn id="28" idx="3"/>
        </xdr:cNvCxnSpPr>
      </xdr:nvCxnSpPr>
      <xdr:spPr>
        <a:xfrm flipH="1">
          <a:off x="3632200" y="7886700"/>
          <a:ext cx="3213100" cy="127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431800</xdr:colOff>
      <xdr:row>29</xdr:row>
      <xdr:rowOff>76200</xdr:rowOff>
    </xdr:from>
    <xdr:to>
      <xdr:col>3</xdr:col>
      <xdr:colOff>438150</xdr:colOff>
      <xdr:row>32</xdr:row>
      <xdr:rowOff>165100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2D5FB59-16AE-8D46-AE90-2C0C27CAC660}"/>
            </a:ext>
          </a:extLst>
        </xdr:cNvPr>
        <xdr:cNvCxnSpPr>
          <a:stCxn id="28" idx="0"/>
          <a:endCxn id="30" idx="2"/>
        </xdr:cNvCxnSpPr>
      </xdr:nvCxnSpPr>
      <xdr:spPr>
        <a:xfrm flipV="1">
          <a:off x="2908300" y="5461000"/>
          <a:ext cx="6350" cy="7112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368300</xdr:colOff>
      <xdr:row>26</xdr:row>
      <xdr:rowOff>12700</xdr:rowOff>
    </xdr:from>
    <xdr:to>
      <xdr:col>5</xdr:col>
      <xdr:colOff>304800</xdr:colOff>
      <xdr:row>26</xdr:row>
      <xdr:rowOff>19050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B26B315-4E15-C340-8300-86F3295112C8}"/>
            </a:ext>
          </a:extLst>
        </xdr:cNvPr>
        <xdr:cNvCxnSpPr>
          <a:stCxn id="30" idx="3"/>
          <a:endCxn id="31" idx="1"/>
        </xdr:cNvCxnSpPr>
      </xdr:nvCxnSpPr>
      <xdr:spPr>
        <a:xfrm flipV="1">
          <a:off x="3670300" y="4787900"/>
          <a:ext cx="762000" cy="635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26</xdr:row>
      <xdr:rowOff>12700</xdr:rowOff>
    </xdr:from>
    <xdr:to>
      <xdr:col>2</xdr:col>
      <xdr:colOff>508000</xdr:colOff>
      <xdr:row>26</xdr:row>
      <xdr:rowOff>19050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8A3FA54-6C61-524C-945A-6695264F42A3}"/>
            </a:ext>
          </a:extLst>
        </xdr:cNvPr>
        <xdr:cNvCxnSpPr>
          <a:stCxn id="30" idx="1"/>
          <a:endCxn id="32" idx="3"/>
        </xdr:cNvCxnSpPr>
      </xdr:nvCxnSpPr>
      <xdr:spPr>
        <a:xfrm flipH="1" flipV="1">
          <a:off x="1739900" y="4787900"/>
          <a:ext cx="419100" cy="635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26</xdr:row>
      <xdr:rowOff>12700</xdr:rowOff>
    </xdr:from>
    <xdr:to>
      <xdr:col>8</xdr:col>
      <xdr:colOff>736601</xdr:colOff>
      <xdr:row>26</xdr:row>
      <xdr:rowOff>24912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955189A-C22F-684C-B4E9-FC7D7F7EC69A}"/>
            </a:ext>
          </a:extLst>
        </xdr:cNvPr>
        <xdr:cNvCxnSpPr>
          <a:stCxn id="31" idx="3"/>
          <a:endCxn id="18" idx="0"/>
        </xdr:cNvCxnSpPr>
      </xdr:nvCxnSpPr>
      <xdr:spPr>
        <a:xfrm>
          <a:off x="5880100" y="6108700"/>
          <a:ext cx="1460501" cy="12212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393701</xdr:colOff>
      <xdr:row>26</xdr:row>
      <xdr:rowOff>0</xdr:rowOff>
    </xdr:from>
    <xdr:to>
      <xdr:col>13</xdr:col>
      <xdr:colOff>88900</xdr:colOff>
      <xdr:row>26</xdr:row>
      <xdr:rowOff>24912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5236049-9598-4843-A9DF-CB7B029340E7}"/>
            </a:ext>
          </a:extLst>
        </xdr:cNvPr>
        <xdr:cNvCxnSpPr>
          <a:stCxn id="18" idx="2"/>
          <a:endCxn id="16" idx="1"/>
        </xdr:cNvCxnSpPr>
      </xdr:nvCxnSpPr>
      <xdr:spPr>
        <a:xfrm flipV="1">
          <a:off x="7823201" y="6096000"/>
          <a:ext cx="2997199" cy="24912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165100</xdr:colOff>
      <xdr:row>28</xdr:row>
      <xdr:rowOff>12700</xdr:rowOff>
    </xdr:from>
    <xdr:to>
      <xdr:col>1</xdr:col>
      <xdr:colOff>190500</xdr:colOff>
      <xdr:row>33</xdr:row>
      <xdr:rowOff>12700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BAB5658-C441-B14F-85B1-5E9E51E246D2}"/>
            </a:ext>
          </a:extLst>
        </xdr:cNvPr>
        <xdr:cNvCxnSpPr>
          <a:stCxn id="32" idx="2"/>
          <a:endCxn id="55" idx="0"/>
        </xdr:cNvCxnSpPr>
      </xdr:nvCxnSpPr>
      <xdr:spPr>
        <a:xfrm flipH="1">
          <a:off x="990600" y="6515100"/>
          <a:ext cx="25400" cy="10795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622300</xdr:colOff>
      <xdr:row>33</xdr:row>
      <xdr:rowOff>12700</xdr:rowOff>
    </xdr:from>
    <xdr:to>
      <xdr:col>1</xdr:col>
      <xdr:colOff>533400</xdr:colOff>
      <xdr:row>36</xdr:row>
      <xdr:rowOff>165100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54E4E2EE-70F1-3A4C-8302-8FB9DF2DD05F}"/>
            </a:ext>
          </a:extLst>
        </xdr:cNvPr>
        <xdr:cNvSpPr/>
      </xdr:nvSpPr>
      <xdr:spPr>
        <a:xfrm>
          <a:off x="622300" y="7594600"/>
          <a:ext cx="736600" cy="762000"/>
        </a:xfrm>
        <a:prstGeom prst="ellipse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/>
            <a:t>End</a:t>
          </a:r>
        </a:p>
      </xdr:txBody>
    </xdr:sp>
    <xdr:clientData/>
  </xdr:twoCellAnchor>
  <xdr:twoCellAnchor>
    <xdr:from>
      <xdr:col>9</xdr:col>
      <xdr:colOff>139700</xdr:colOff>
      <xdr:row>27</xdr:row>
      <xdr:rowOff>63501</xdr:rowOff>
    </xdr:from>
    <xdr:to>
      <xdr:col>9</xdr:col>
      <xdr:colOff>152401</xdr:colOff>
      <xdr:row>32</xdr:row>
      <xdr:rowOff>152400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DF75288-EDFD-E946-AEBA-BCC6BBC97E2C}"/>
            </a:ext>
          </a:extLst>
        </xdr:cNvPr>
        <xdr:cNvCxnSpPr>
          <a:stCxn id="18" idx="1"/>
          <a:endCxn id="17" idx="0"/>
        </xdr:cNvCxnSpPr>
      </xdr:nvCxnSpPr>
      <xdr:spPr>
        <a:xfrm flipH="1">
          <a:off x="7569200" y="6362701"/>
          <a:ext cx="12701" cy="1117599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203200</xdr:colOff>
      <xdr:row>32</xdr:row>
      <xdr:rowOff>38100</xdr:rowOff>
    </xdr:from>
    <xdr:to>
      <xdr:col>19</xdr:col>
      <xdr:colOff>558800</xdr:colOff>
      <xdr:row>36</xdr:row>
      <xdr:rowOff>165100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0298792-9936-0E44-A2F4-51D4C4611771}"/>
            </a:ext>
          </a:extLst>
        </xdr:cNvPr>
        <xdr:cNvSpPr/>
      </xdr:nvSpPr>
      <xdr:spPr>
        <a:xfrm>
          <a:off x="15062200" y="7366000"/>
          <a:ext cx="1485900" cy="9906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Request </a:t>
          </a:r>
        </a:p>
        <a:p>
          <a:pPr algn="ctr"/>
          <a:r>
            <a:rPr lang="en-US" sz="2000" b="1"/>
            <a:t>Order</a:t>
          </a:r>
        </a:p>
      </xdr:txBody>
    </xdr:sp>
    <xdr:clientData/>
  </xdr:twoCellAnchor>
  <xdr:twoCellAnchor>
    <xdr:from>
      <xdr:col>18</xdr:col>
      <xdr:colOff>203200</xdr:colOff>
      <xdr:row>15</xdr:row>
      <xdr:rowOff>177800</xdr:rowOff>
    </xdr:from>
    <xdr:to>
      <xdr:col>19</xdr:col>
      <xdr:colOff>558800</xdr:colOff>
      <xdr:row>20</xdr:row>
      <xdr:rowOff>50800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B43859A-E57C-414D-AE9C-9FC3D8EC5DC3}"/>
            </a:ext>
          </a:extLst>
        </xdr:cNvPr>
        <xdr:cNvSpPr/>
      </xdr:nvSpPr>
      <xdr:spPr>
        <a:xfrm>
          <a:off x="15062200" y="3937000"/>
          <a:ext cx="1485900" cy="889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Cooking</a:t>
          </a:r>
        </a:p>
      </xdr:txBody>
    </xdr:sp>
    <xdr:clientData/>
  </xdr:twoCellAnchor>
  <xdr:twoCellAnchor>
    <xdr:from>
      <xdr:col>9</xdr:col>
      <xdr:colOff>158750</xdr:colOff>
      <xdr:row>18</xdr:row>
      <xdr:rowOff>12700</xdr:rowOff>
    </xdr:from>
    <xdr:to>
      <xdr:col>14</xdr:col>
      <xdr:colOff>25400</xdr:colOff>
      <xdr:row>23</xdr:row>
      <xdr:rowOff>215900</xdr:rowOff>
    </xdr:to>
    <xdr:cxnSp macro="">
      <xdr:nvCxnSpPr>
        <xdr:cNvPr id="66" name="Elbow Connector 65">
          <a:extLst>
            <a:ext uri="{FF2B5EF4-FFF2-40B4-BE49-F238E27FC236}">
              <a16:creationId xmlns:a16="http://schemas.microsoft.com/office/drawing/2014/main" id="{E9027D15-F6BE-EC46-8C9E-668432081D08}"/>
            </a:ext>
          </a:extLst>
        </xdr:cNvPr>
        <xdr:cNvCxnSpPr>
          <a:stCxn id="70" idx="1"/>
          <a:endCxn id="20" idx="0"/>
        </xdr:cNvCxnSpPr>
      </xdr:nvCxnSpPr>
      <xdr:spPr>
        <a:xfrm rot="10800000" flipV="1">
          <a:off x="7588250" y="4381500"/>
          <a:ext cx="3994150" cy="1219200"/>
        </a:xfrm>
        <a:prstGeom prst="bentConnector2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</xdr:colOff>
      <xdr:row>15</xdr:row>
      <xdr:rowOff>177800</xdr:rowOff>
    </xdr:from>
    <xdr:to>
      <xdr:col>15</xdr:col>
      <xdr:colOff>685800</xdr:colOff>
      <xdr:row>20</xdr:row>
      <xdr:rowOff>50800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6918DCC-3C81-F44F-9C15-80E601388530}"/>
            </a:ext>
          </a:extLst>
        </xdr:cNvPr>
        <xdr:cNvSpPr/>
      </xdr:nvSpPr>
      <xdr:spPr>
        <a:xfrm>
          <a:off x="11582400" y="3937000"/>
          <a:ext cx="1485900" cy="889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Delivery</a:t>
          </a:r>
        </a:p>
      </xdr:txBody>
    </xdr:sp>
    <xdr:clientData/>
  </xdr:twoCellAnchor>
  <xdr:twoCellAnchor>
    <xdr:from>
      <xdr:col>15</xdr:col>
      <xdr:colOff>685800</xdr:colOff>
      <xdr:row>18</xdr:row>
      <xdr:rowOff>12700</xdr:rowOff>
    </xdr:from>
    <xdr:to>
      <xdr:col>18</xdr:col>
      <xdr:colOff>203200</xdr:colOff>
      <xdr:row>18</xdr:row>
      <xdr:rowOff>12700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7FB53470-B050-0548-A213-3B9035DC3505}"/>
            </a:ext>
          </a:extLst>
        </xdr:cNvPr>
        <xdr:cNvCxnSpPr>
          <a:stCxn id="64" idx="1"/>
          <a:endCxn id="70" idx="3"/>
        </xdr:cNvCxnSpPr>
      </xdr:nvCxnSpPr>
      <xdr:spPr>
        <a:xfrm flipH="1">
          <a:off x="13068300" y="4381500"/>
          <a:ext cx="1993900" cy="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946150</xdr:colOff>
      <xdr:row>20</xdr:row>
      <xdr:rowOff>50800</xdr:rowOff>
    </xdr:from>
    <xdr:to>
      <xdr:col>18</xdr:col>
      <xdr:colOff>946150</xdr:colOff>
      <xdr:row>32</xdr:row>
      <xdr:rowOff>38100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E0685C8-9F27-3F44-A159-6720EEB1FAF8}"/>
            </a:ext>
          </a:extLst>
        </xdr:cNvPr>
        <xdr:cNvCxnSpPr>
          <a:stCxn id="60" idx="0"/>
          <a:endCxn id="64" idx="2"/>
        </xdr:cNvCxnSpPr>
      </xdr:nvCxnSpPr>
      <xdr:spPr>
        <a:xfrm flipV="1">
          <a:off x="15805150" y="4826000"/>
          <a:ext cx="0" cy="25400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36</xdr:row>
      <xdr:rowOff>165100</xdr:rowOff>
    </xdr:from>
    <xdr:to>
      <xdr:col>14</xdr:col>
      <xdr:colOff>673100</xdr:colOff>
      <xdr:row>42</xdr:row>
      <xdr:rowOff>88900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61A452C5-2459-ED49-82D7-9DC51495D38A}"/>
            </a:ext>
          </a:extLst>
        </xdr:cNvPr>
        <xdr:cNvSpPr/>
      </xdr:nvSpPr>
      <xdr:spPr>
        <a:xfrm>
          <a:off x="10807700" y="8356600"/>
          <a:ext cx="1511300" cy="1358900"/>
        </a:xfrm>
        <a:prstGeom prst="diamon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aseline="0"/>
            <a:t>COD?</a:t>
          </a:r>
        </a:p>
        <a:p>
          <a:pPr algn="ctr"/>
          <a:r>
            <a:rPr lang="en-US" sz="1800" baseline="0"/>
            <a:t>Coin?</a:t>
          </a:r>
          <a:endParaRPr lang="en-US" sz="1800"/>
        </a:p>
      </xdr:txBody>
    </xdr:sp>
    <xdr:clientData/>
  </xdr:twoCellAnchor>
  <xdr:twoCellAnchor>
    <xdr:from>
      <xdr:col>2</xdr:col>
      <xdr:colOff>444500</xdr:colOff>
      <xdr:row>40</xdr:row>
      <xdr:rowOff>101600</xdr:rowOff>
    </xdr:from>
    <xdr:to>
      <xdr:col>4</xdr:col>
      <xdr:colOff>241300</xdr:colOff>
      <xdr:row>44</xdr:row>
      <xdr:rowOff>203200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260D1BD-4D37-B54B-A6FD-CDF816D74C25}"/>
            </a:ext>
          </a:extLst>
        </xdr:cNvPr>
        <xdr:cNvSpPr/>
      </xdr:nvSpPr>
      <xdr:spPr>
        <a:xfrm>
          <a:off x="2095500" y="9220200"/>
          <a:ext cx="1447800" cy="1016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Confirm</a:t>
          </a:r>
        </a:p>
        <a:p>
          <a:pPr algn="ctr"/>
          <a:r>
            <a:rPr lang="en-US" sz="2000" b="1"/>
            <a:t>Order</a:t>
          </a:r>
        </a:p>
      </xdr:txBody>
    </xdr:sp>
    <xdr:clientData/>
  </xdr:twoCellAnchor>
  <xdr:twoCellAnchor>
    <xdr:from>
      <xdr:col>11</xdr:col>
      <xdr:colOff>590550</xdr:colOff>
      <xdr:row>37</xdr:row>
      <xdr:rowOff>127000</xdr:rowOff>
    </xdr:from>
    <xdr:to>
      <xdr:col>13</xdr:col>
      <xdr:colOff>76200</xdr:colOff>
      <xdr:row>39</xdr:row>
      <xdr:rowOff>120650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FA21E6D5-5A6A-2448-9D9C-FBF54AA901FE}"/>
            </a:ext>
          </a:extLst>
        </xdr:cNvPr>
        <xdr:cNvCxnSpPr>
          <a:stCxn id="33" idx="1"/>
          <a:endCxn id="22" idx="2"/>
        </xdr:cNvCxnSpPr>
      </xdr:nvCxnSpPr>
      <xdr:spPr>
        <a:xfrm rot="10800000">
          <a:off x="9671050" y="8534400"/>
          <a:ext cx="1136650" cy="501650"/>
        </a:xfrm>
        <a:prstGeom prst="bentConnector2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42</xdr:row>
      <xdr:rowOff>88900</xdr:rowOff>
    </xdr:from>
    <xdr:to>
      <xdr:col>13</xdr:col>
      <xdr:colOff>831850</xdr:colOff>
      <xdr:row>42</xdr:row>
      <xdr:rowOff>101600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FA1AF58-C61B-E04B-8CC3-B6D96CFCD5A2}"/>
            </a:ext>
          </a:extLst>
        </xdr:cNvPr>
        <xdr:cNvCxnSpPr>
          <a:stCxn id="33" idx="2"/>
          <a:endCxn id="47" idx="3"/>
        </xdr:cNvCxnSpPr>
      </xdr:nvCxnSpPr>
      <xdr:spPr>
        <a:xfrm flipH="1">
          <a:off x="3543300" y="9715500"/>
          <a:ext cx="8020050" cy="127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355600</xdr:colOff>
      <xdr:row>47</xdr:row>
      <xdr:rowOff>0</xdr:rowOff>
    </xdr:from>
    <xdr:to>
      <xdr:col>4</xdr:col>
      <xdr:colOff>304800</xdr:colOff>
      <xdr:row>53</xdr:row>
      <xdr:rowOff>88900</xdr:rowOff>
    </xdr:to>
    <xdr:sp macro="" textlink="">
      <xdr:nvSpPr>
        <xdr:cNvPr id="35" name="Diamond 34">
          <a:extLst>
            <a:ext uri="{FF2B5EF4-FFF2-40B4-BE49-F238E27FC236}">
              <a16:creationId xmlns:a16="http://schemas.microsoft.com/office/drawing/2014/main" id="{52F8BD12-2B16-A24B-AA6F-F5123E447513}"/>
            </a:ext>
          </a:extLst>
        </xdr:cNvPr>
        <xdr:cNvSpPr/>
      </xdr:nvSpPr>
      <xdr:spPr>
        <a:xfrm>
          <a:off x="2006600" y="10744200"/>
          <a:ext cx="1600200" cy="1308100"/>
        </a:xfrm>
        <a:prstGeom prst="diamon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aseline="0"/>
            <a:t>Valid?</a:t>
          </a:r>
          <a:endParaRPr lang="en-US" sz="1800"/>
        </a:p>
      </xdr:txBody>
    </xdr:sp>
    <xdr:clientData/>
  </xdr:twoCellAnchor>
  <xdr:twoCellAnchor>
    <xdr:from>
      <xdr:col>3</xdr:col>
      <xdr:colOff>330200</xdr:colOff>
      <xdr:row>44</xdr:row>
      <xdr:rowOff>203200</xdr:rowOff>
    </xdr:from>
    <xdr:to>
      <xdr:col>3</xdr:col>
      <xdr:colOff>342900</xdr:colOff>
      <xdr:row>47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3C1E942-7390-4243-9132-CC4ED32990B4}"/>
            </a:ext>
          </a:extLst>
        </xdr:cNvPr>
        <xdr:cNvCxnSpPr>
          <a:stCxn id="47" idx="2"/>
          <a:endCxn id="35" idx="0"/>
        </xdr:cNvCxnSpPr>
      </xdr:nvCxnSpPr>
      <xdr:spPr>
        <a:xfrm flipH="1">
          <a:off x="2806700" y="10236200"/>
          <a:ext cx="12700" cy="5080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419100</xdr:colOff>
      <xdr:row>49</xdr:row>
      <xdr:rowOff>196850</xdr:rowOff>
    </xdr:from>
    <xdr:to>
      <xdr:col>2</xdr:col>
      <xdr:colOff>355600</xdr:colOff>
      <xdr:row>50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2789F4F-E260-D140-B68C-F23918CE740F}"/>
            </a:ext>
          </a:extLst>
        </xdr:cNvPr>
        <xdr:cNvCxnSpPr>
          <a:stCxn id="35" idx="1"/>
          <a:endCxn id="41" idx="6"/>
        </xdr:cNvCxnSpPr>
      </xdr:nvCxnSpPr>
      <xdr:spPr>
        <a:xfrm flipH="1">
          <a:off x="1244600" y="11449050"/>
          <a:ext cx="762000" cy="635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508000</xdr:colOff>
      <xdr:row>48</xdr:row>
      <xdr:rowOff>127000</xdr:rowOff>
    </xdr:from>
    <xdr:to>
      <xdr:col>1</xdr:col>
      <xdr:colOff>419100</xdr:colOff>
      <xdr:row>51</xdr:row>
      <xdr:rowOff>177800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28847F7-7555-FD44-A50E-3A040F909799}"/>
            </a:ext>
          </a:extLst>
        </xdr:cNvPr>
        <xdr:cNvSpPr/>
      </xdr:nvSpPr>
      <xdr:spPr>
        <a:xfrm>
          <a:off x="508000" y="11074400"/>
          <a:ext cx="736600" cy="762000"/>
        </a:xfrm>
        <a:prstGeom prst="ellipse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/>
            <a:t>End</a:t>
          </a:r>
        </a:p>
      </xdr:txBody>
    </xdr:sp>
    <xdr:clientData/>
  </xdr:twoCellAnchor>
  <xdr:twoCellAnchor>
    <xdr:from>
      <xdr:col>4</xdr:col>
      <xdr:colOff>304800</xdr:colOff>
      <xdr:row>36</xdr:row>
      <xdr:rowOff>165100</xdr:rowOff>
    </xdr:from>
    <xdr:to>
      <xdr:col>18</xdr:col>
      <xdr:colOff>946150</xdr:colOff>
      <xdr:row>49</xdr:row>
      <xdr:rowOff>196850</xdr:rowOff>
    </xdr:to>
    <xdr:cxnSp macro="">
      <xdr:nvCxnSpPr>
        <xdr:cNvPr id="45" name="Elbow Connector 44">
          <a:extLst>
            <a:ext uri="{FF2B5EF4-FFF2-40B4-BE49-F238E27FC236}">
              <a16:creationId xmlns:a16="http://schemas.microsoft.com/office/drawing/2014/main" id="{F5DB2208-028F-CE46-9F1D-4BF420476CC6}"/>
            </a:ext>
          </a:extLst>
        </xdr:cNvPr>
        <xdr:cNvCxnSpPr>
          <a:stCxn id="35" idx="3"/>
          <a:endCxn id="60" idx="2"/>
        </xdr:cNvCxnSpPr>
      </xdr:nvCxnSpPr>
      <xdr:spPr>
        <a:xfrm flipV="1">
          <a:off x="3606800" y="8356600"/>
          <a:ext cx="12287250" cy="3092450"/>
        </a:xfrm>
        <a:prstGeom prst="bentConnector2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469900</xdr:colOff>
      <xdr:row>34</xdr:row>
      <xdr:rowOff>76200</xdr:rowOff>
    </xdr:from>
    <xdr:to>
      <xdr:col>18</xdr:col>
      <xdr:colOff>203200</xdr:colOff>
      <xdr:row>34</xdr:row>
      <xdr:rowOff>101600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A1C8DAC-201C-1942-918D-0529B0F8408F}"/>
            </a:ext>
          </a:extLst>
        </xdr:cNvPr>
        <xdr:cNvCxnSpPr>
          <a:stCxn id="22" idx="3"/>
          <a:endCxn id="60" idx="1"/>
        </xdr:cNvCxnSpPr>
      </xdr:nvCxnSpPr>
      <xdr:spPr>
        <a:xfrm flipV="1">
          <a:off x="10375900" y="7861300"/>
          <a:ext cx="4775200" cy="2540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965200</xdr:colOff>
      <xdr:row>21</xdr:row>
      <xdr:rowOff>0</xdr:rowOff>
    </xdr:from>
    <xdr:to>
      <xdr:col>16</xdr:col>
      <xdr:colOff>228600</xdr:colOff>
      <xdr:row>24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19CBD7A-5F3F-F842-AD94-63FF25995D13}"/>
            </a:ext>
          </a:extLst>
        </xdr:cNvPr>
        <xdr:cNvSpPr/>
      </xdr:nvSpPr>
      <xdr:spPr>
        <a:xfrm>
          <a:off x="12522200" y="48514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Setting</a:t>
          </a:r>
        </a:p>
      </xdr:txBody>
    </xdr:sp>
    <xdr:clientData/>
  </xdr:twoCellAnchor>
  <xdr:twoCellAnchor>
    <xdr:from>
      <xdr:col>5</xdr:col>
      <xdr:colOff>177800</xdr:colOff>
      <xdr:row>14</xdr:row>
      <xdr:rowOff>254000</xdr:rowOff>
    </xdr:from>
    <xdr:to>
      <xdr:col>11</xdr:col>
      <xdr:colOff>139700</xdr:colOff>
      <xdr:row>17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F4A126-50CC-8645-96FD-A7D16C3B1C0B}"/>
            </a:ext>
          </a:extLst>
        </xdr:cNvPr>
        <xdr:cNvSpPr/>
      </xdr:nvSpPr>
      <xdr:spPr>
        <a:xfrm>
          <a:off x="4305300" y="4089400"/>
          <a:ext cx="4914900" cy="711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500"/>
            <a:t>Access</a:t>
          </a:r>
        </a:p>
      </xdr:txBody>
    </xdr:sp>
    <xdr:clientData/>
  </xdr:twoCellAnchor>
  <xdr:twoCellAnchor>
    <xdr:from>
      <xdr:col>5</xdr:col>
      <xdr:colOff>393700</xdr:colOff>
      <xdr:row>21</xdr:row>
      <xdr:rowOff>12700</xdr:rowOff>
    </xdr:from>
    <xdr:to>
      <xdr:col>7</xdr:col>
      <xdr:colOff>190500</xdr:colOff>
      <xdr:row>24</xdr:row>
      <xdr:rowOff>165100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F96F650-2CA9-2642-A6DE-A3B5E9497B46}"/>
            </a:ext>
          </a:extLst>
        </xdr:cNvPr>
        <xdr:cNvSpPr/>
      </xdr:nvSpPr>
      <xdr:spPr>
        <a:xfrm>
          <a:off x="4521200" y="48768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 </a:t>
          </a:r>
        </a:p>
      </xdr:txBody>
    </xdr:sp>
    <xdr:clientData/>
  </xdr:twoCellAnchor>
  <xdr:twoCellAnchor>
    <xdr:from>
      <xdr:col>3</xdr:col>
      <xdr:colOff>38100</xdr:colOff>
      <xdr:row>21</xdr:row>
      <xdr:rowOff>0</xdr:rowOff>
    </xdr:from>
    <xdr:to>
      <xdr:col>4</xdr:col>
      <xdr:colOff>660400</xdr:colOff>
      <xdr:row>24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24C1121-5135-F74B-98D9-2DD39BEB5420}"/>
            </a:ext>
          </a:extLst>
        </xdr:cNvPr>
        <xdr:cNvSpPr/>
      </xdr:nvSpPr>
      <xdr:spPr>
        <a:xfrm>
          <a:off x="2514600" y="48641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Transaction</a:t>
          </a:r>
        </a:p>
      </xdr:txBody>
    </xdr:sp>
    <xdr:clientData/>
  </xdr:twoCellAnchor>
  <xdr:twoCellAnchor>
    <xdr:from>
      <xdr:col>0</xdr:col>
      <xdr:colOff>457200</xdr:colOff>
      <xdr:row>21</xdr:row>
      <xdr:rowOff>0</xdr:rowOff>
    </xdr:from>
    <xdr:to>
      <xdr:col>2</xdr:col>
      <xdr:colOff>254000</xdr:colOff>
      <xdr:row>24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4D0B661-76A4-894F-B85D-921E4BDA9030}"/>
            </a:ext>
          </a:extLst>
        </xdr:cNvPr>
        <xdr:cNvSpPr/>
      </xdr:nvSpPr>
      <xdr:spPr>
        <a:xfrm>
          <a:off x="457200" y="48514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Dashboard</a:t>
          </a:r>
        </a:p>
      </xdr:txBody>
    </xdr:sp>
    <xdr:clientData/>
  </xdr:twoCellAnchor>
  <xdr:twoCellAnchor>
    <xdr:from>
      <xdr:col>10</xdr:col>
      <xdr:colOff>368300</xdr:colOff>
      <xdr:row>21</xdr:row>
      <xdr:rowOff>38100</xdr:rowOff>
    </xdr:from>
    <xdr:to>
      <xdr:col>12</xdr:col>
      <xdr:colOff>165100</xdr:colOff>
      <xdr:row>24</xdr:row>
      <xdr:rowOff>190500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9B0221-AD05-D04C-A9DF-6D9E488BF8D5}"/>
            </a:ext>
          </a:extLst>
        </xdr:cNvPr>
        <xdr:cNvSpPr/>
      </xdr:nvSpPr>
      <xdr:spPr>
        <a:xfrm>
          <a:off x="8623300" y="49022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Finance</a:t>
          </a:r>
        </a:p>
      </xdr:txBody>
    </xdr:sp>
    <xdr:clientData/>
  </xdr:twoCellAnchor>
  <xdr:twoCellAnchor>
    <xdr:from>
      <xdr:col>12</xdr:col>
      <xdr:colOff>723900</xdr:colOff>
      <xdr:row>21</xdr:row>
      <xdr:rowOff>0</xdr:rowOff>
    </xdr:from>
    <xdr:to>
      <xdr:col>14</xdr:col>
      <xdr:colOff>520700</xdr:colOff>
      <xdr:row>24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3001076-D1CF-3542-9214-87A090FA2549}"/>
            </a:ext>
          </a:extLst>
        </xdr:cNvPr>
        <xdr:cNvSpPr/>
      </xdr:nvSpPr>
      <xdr:spPr>
        <a:xfrm>
          <a:off x="10629900" y="48641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</a:t>
          </a:r>
        </a:p>
      </xdr:txBody>
    </xdr:sp>
    <xdr:clientData/>
  </xdr:twoCellAnchor>
  <xdr:twoCellAnchor>
    <xdr:from>
      <xdr:col>5</xdr:col>
      <xdr:colOff>393700</xdr:colOff>
      <xdr:row>28</xdr:row>
      <xdr:rowOff>0</xdr:rowOff>
    </xdr:from>
    <xdr:to>
      <xdr:col>7</xdr:col>
      <xdr:colOff>190500</xdr:colOff>
      <xdr:row>31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DD81EAC-3D35-AB46-B470-B8B153F4D23F}"/>
            </a:ext>
          </a:extLst>
        </xdr:cNvPr>
        <xdr:cNvSpPr/>
      </xdr:nvSpPr>
      <xdr:spPr>
        <a:xfrm>
          <a:off x="4521200" y="62865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Listing </a:t>
          </a:r>
        </a:p>
      </xdr:txBody>
    </xdr:sp>
    <xdr:clientData/>
  </xdr:twoCellAnchor>
  <xdr:twoCellAnchor>
    <xdr:from>
      <xdr:col>5</xdr:col>
      <xdr:colOff>393700</xdr:colOff>
      <xdr:row>34</xdr:row>
      <xdr:rowOff>38100</xdr:rowOff>
    </xdr:from>
    <xdr:to>
      <xdr:col>7</xdr:col>
      <xdr:colOff>190500</xdr:colOff>
      <xdr:row>37</xdr:row>
      <xdr:rowOff>190500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254EF83-D2A1-5E42-8226-BAEB82A943E4}"/>
            </a:ext>
          </a:extLst>
        </xdr:cNvPr>
        <xdr:cNvSpPr/>
      </xdr:nvSpPr>
      <xdr:spPr>
        <a:xfrm>
          <a:off x="4521200" y="75438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/>
            <a:t>Add Coin</a:t>
          </a:r>
          <a:endParaRPr lang="en-US" sz="2000"/>
        </a:p>
      </xdr:txBody>
    </xdr:sp>
    <xdr:clientData/>
  </xdr:twoCellAnchor>
  <xdr:twoCellAnchor>
    <xdr:from>
      <xdr:col>5</xdr:col>
      <xdr:colOff>406400</xdr:colOff>
      <xdr:row>40</xdr:row>
      <xdr:rowOff>50800</xdr:rowOff>
    </xdr:from>
    <xdr:to>
      <xdr:col>7</xdr:col>
      <xdr:colOff>203200</xdr:colOff>
      <xdr:row>44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9DF548A-B152-4C41-839B-E14144A49DC8}"/>
            </a:ext>
          </a:extLst>
        </xdr:cNvPr>
        <xdr:cNvSpPr/>
      </xdr:nvSpPr>
      <xdr:spPr>
        <a:xfrm>
          <a:off x="4533900" y="87757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Coin</a:t>
          </a:r>
          <a:r>
            <a:rPr lang="en-US" sz="1800" baseline="0"/>
            <a:t> Rate</a:t>
          </a:r>
          <a:endParaRPr lang="en-US" sz="1800"/>
        </a:p>
      </xdr:txBody>
    </xdr:sp>
    <xdr:clientData/>
  </xdr:twoCellAnchor>
  <xdr:twoCellAnchor>
    <xdr:from>
      <xdr:col>6</xdr:col>
      <xdr:colOff>774700</xdr:colOff>
      <xdr:row>40</xdr:row>
      <xdr:rowOff>152400</xdr:rowOff>
    </xdr:from>
    <xdr:to>
      <xdr:col>7</xdr:col>
      <xdr:colOff>127000</xdr:colOff>
      <xdr:row>41</xdr:row>
      <xdr:rowOff>139700</xdr:rowOff>
    </xdr:to>
    <xdr:sp macro="" textlink="">
      <xdr:nvSpPr>
        <xdr:cNvPr id="14" name="7-Point Star 13">
          <a:extLst>
            <a:ext uri="{FF2B5EF4-FFF2-40B4-BE49-F238E27FC236}">
              <a16:creationId xmlns:a16="http://schemas.microsoft.com/office/drawing/2014/main" id="{6098405F-2211-6A4F-9BAE-324DB35A8222}"/>
            </a:ext>
          </a:extLst>
        </xdr:cNvPr>
        <xdr:cNvSpPr/>
      </xdr:nvSpPr>
      <xdr:spPr>
        <a:xfrm>
          <a:off x="5727700" y="8877300"/>
          <a:ext cx="177800" cy="1905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139700</xdr:colOff>
      <xdr:row>21</xdr:row>
      <xdr:rowOff>25400</xdr:rowOff>
    </xdr:from>
    <xdr:to>
      <xdr:col>14</xdr:col>
      <xdr:colOff>406400</xdr:colOff>
      <xdr:row>22</xdr:row>
      <xdr:rowOff>114300</xdr:rowOff>
    </xdr:to>
    <xdr:sp macro="" textlink="">
      <xdr:nvSpPr>
        <xdr:cNvPr id="15" name="7-Point Star 14">
          <a:extLst>
            <a:ext uri="{FF2B5EF4-FFF2-40B4-BE49-F238E27FC236}">
              <a16:creationId xmlns:a16="http://schemas.microsoft.com/office/drawing/2014/main" id="{441FA7E5-6571-8744-AA36-989157709847}"/>
            </a:ext>
          </a:extLst>
        </xdr:cNvPr>
        <xdr:cNvSpPr/>
      </xdr:nvSpPr>
      <xdr:spPr>
        <a:xfrm>
          <a:off x="11696700" y="4889500"/>
          <a:ext cx="266700" cy="2921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304800</xdr:colOff>
      <xdr:row>21</xdr:row>
      <xdr:rowOff>0</xdr:rowOff>
    </xdr:from>
    <xdr:to>
      <xdr:col>4</xdr:col>
      <xdr:colOff>571500</xdr:colOff>
      <xdr:row>22</xdr:row>
      <xdr:rowOff>88900</xdr:rowOff>
    </xdr:to>
    <xdr:sp macro="" textlink="">
      <xdr:nvSpPr>
        <xdr:cNvPr id="17" name="7-Point Star 16">
          <a:extLst>
            <a:ext uri="{FF2B5EF4-FFF2-40B4-BE49-F238E27FC236}">
              <a16:creationId xmlns:a16="http://schemas.microsoft.com/office/drawing/2014/main" id="{E413A645-06ED-9F47-BD87-EA5026B23026}"/>
            </a:ext>
          </a:extLst>
        </xdr:cNvPr>
        <xdr:cNvSpPr/>
      </xdr:nvSpPr>
      <xdr:spPr>
        <a:xfrm>
          <a:off x="3606800" y="4864100"/>
          <a:ext cx="266700" cy="2921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27</xdr:row>
      <xdr:rowOff>177800</xdr:rowOff>
    </xdr:from>
    <xdr:to>
      <xdr:col>4</xdr:col>
      <xdr:colOff>698500</xdr:colOff>
      <xdr:row>31</xdr:row>
      <xdr:rowOff>127000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E349D3A-5B96-0D4F-8B9C-30A4C30C3861}"/>
            </a:ext>
          </a:extLst>
        </xdr:cNvPr>
        <xdr:cNvSpPr/>
      </xdr:nvSpPr>
      <xdr:spPr>
        <a:xfrm>
          <a:off x="2552700" y="62611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Order Transaction </a:t>
          </a:r>
        </a:p>
      </xdr:txBody>
    </xdr:sp>
    <xdr:clientData/>
  </xdr:twoCellAnchor>
  <xdr:twoCellAnchor>
    <xdr:from>
      <xdr:col>10</xdr:col>
      <xdr:colOff>381000</xdr:colOff>
      <xdr:row>28</xdr:row>
      <xdr:rowOff>50800</xdr:rowOff>
    </xdr:from>
    <xdr:to>
      <xdr:col>12</xdr:col>
      <xdr:colOff>177800</xdr:colOff>
      <xdr:row>32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0C80810-FDC2-F247-A55D-D16F1274ACEE}"/>
            </a:ext>
          </a:extLst>
        </xdr:cNvPr>
        <xdr:cNvSpPr/>
      </xdr:nvSpPr>
      <xdr:spPr>
        <a:xfrm>
          <a:off x="8636000" y="63373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/>
            <a:t>Sale by</a:t>
          </a:r>
        </a:p>
        <a:p>
          <a:pPr algn="ctr"/>
          <a:r>
            <a:rPr lang="en-US" sz="2000" baseline="0"/>
            <a:t>D/M/Y</a:t>
          </a:r>
          <a:endParaRPr lang="en-US" sz="2000"/>
        </a:p>
      </xdr:txBody>
    </xdr:sp>
    <xdr:clientData/>
  </xdr:twoCellAnchor>
  <xdr:twoCellAnchor>
    <xdr:from>
      <xdr:col>14</xdr:col>
      <xdr:colOff>1003300</xdr:colOff>
      <xdr:row>28</xdr:row>
      <xdr:rowOff>25400</xdr:rowOff>
    </xdr:from>
    <xdr:to>
      <xdr:col>16</xdr:col>
      <xdr:colOff>266700</xdr:colOff>
      <xdr:row>31</xdr:row>
      <xdr:rowOff>177800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6E8C257-6A72-6948-8DEF-56277CC12EF1}"/>
            </a:ext>
          </a:extLst>
        </xdr:cNvPr>
        <xdr:cNvSpPr/>
      </xdr:nvSpPr>
      <xdr:spPr>
        <a:xfrm>
          <a:off x="12560300" y="62992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Login</a:t>
          </a:r>
          <a:r>
            <a:rPr lang="en-US" sz="2000" baseline="0"/>
            <a:t> Manage</a:t>
          </a:r>
          <a:endParaRPr lang="en-US" sz="2000"/>
        </a:p>
      </xdr:txBody>
    </xdr:sp>
    <xdr:clientData/>
  </xdr:twoCellAnchor>
  <xdr:twoCellAnchor>
    <xdr:from>
      <xdr:col>14</xdr:col>
      <xdr:colOff>977900</xdr:colOff>
      <xdr:row>39</xdr:row>
      <xdr:rowOff>12700</xdr:rowOff>
    </xdr:from>
    <xdr:to>
      <xdr:col>16</xdr:col>
      <xdr:colOff>241300</xdr:colOff>
      <xdr:row>42</xdr:row>
      <xdr:rowOff>165100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709C257-90A8-6A4C-8B7D-7F0CF326D88A}"/>
            </a:ext>
          </a:extLst>
        </xdr:cNvPr>
        <xdr:cNvSpPr/>
      </xdr:nvSpPr>
      <xdr:spPr>
        <a:xfrm>
          <a:off x="12534900" y="85217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Site</a:t>
          </a:r>
          <a:r>
            <a:rPr lang="en-US" sz="2000" baseline="0"/>
            <a:t> Info</a:t>
          </a:r>
          <a:endParaRPr lang="en-US" sz="2000"/>
        </a:p>
      </xdr:txBody>
    </xdr:sp>
    <xdr:clientData/>
  </xdr:twoCellAnchor>
  <xdr:twoCellAnchor>
    <xdr:from>
      <xdr:col>13</xdr:col>
      <xdr:colOff>342900</xdr:colOff>
      <xdr:row>11</xdr:row>
      <xdr:rowOff>177800</xdr:rowOff>
    </xdr:from>
    <xdr:to>
      <xdr:col>13</xdr:col>
      <xdr:colOff>673100</xdr:colOff>
      <xdr:row>13</xdr:row>
      <xdr:rowOff>25400</xdr:rowOff>
    </xdr:to>
    <xdr:sp macro="" textlink="">
      <xdr:nvSpPr>
        <xdr:cNvPr id="27" name="7-Point Star 26">
          <a:extLst>
            <a:ext uri="{FF2B5EF4-FFF2-40B4-BE49-F238E27FC236}">
              <a16:creationId xmlns:a16="http://schemas.microsoft.com/office/drawing/2014/main" id="{0D92E6AF-C838-CD43-9245-B383B85078B7}"/>
            </a:ext>
          </a:extLst>
        </xdr:cNvPr>
        <xdr:cNvSpPr/>
      </xdr:nvSpPr>
      <xdr:spPr>
        <a:xfrm>
          <a:off x="11074400" y="3200400"/>
          <a:ext cx="330200" cy="3556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685800</xdr:colOff>
      <xdr:row>21</xdr:row>
      <xdr:rowOff>50800</xdr:rowOff>
    </xdr:from>
    <xdr:to>
      <xdr:col>12</xdr:col>
      <xdr:colOff>127000</xdr:colOff>
      <xdr:row>22</xdr:row>
      <xdr:rowOff>139700</xdr:rowOff>
    </xdr:to>
    <xdr:sp macro="" textlink="">
      <xdr:nvSpPr>
        <xdr:cNvPr id="29" name="7-Point Star 28">
          <a:extLst>
            <a:ext uri="{FF2B5EF4-FFF2-40B4-BE49-F238E27FC236}">
              <a16:creationId xmlns:a16="http://schemas.microsoft.com/office/drawing/2014/main" id="{F1186991-6980-984E-9370-D976E716BBB6}"/>
            </a:ext>
          </a:extLst>
        </xdr:cNvPr>
        <xdr:cNvSpPr/>
      </xdr:nvSpPr>
      <xdr:spPr>
        <a:xfrm>
          <a:off x="9766300" y="4914900"/>
          <a:ext cx="266700" cy="2921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749300</xdr:colOff>
      <xdr:row>28</xdr:row>
      <xdr:rowOff>38100</xdr:rowOff>
    </xdr:from>
    <xdr:to>
      <xdr:col>14</xdr:col>
      <xdr:colOff>546100</xdr:colOff>
      <xdr:row>31</xdr:row>
      <xdr:rowOff>190500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510CD21-15B6-3745-89C2-E9BC1B76AA94}"/>
            </a:ext>
          </a:extLst>
        </xdr:cNvPr>
        <xdr:cNvSpPr/>
      </xdr:nvSpPr>
      <xdr:spPr>
        <a:xfrm>
          <a:off x="10655300" y="63246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/>
            <a:t>CRUD Product</a:t>
          </a:r>
        </a:p>
      </xdr:txBody>
    </xdr:sp>
    <xdr:clientData/>
  </xdr:twoCellAnchor>
  <xdr:twoCellAnchor>
    <xdr:from>
      <xdr:col>5</xdr:col>
      <xdr:colOff>393700</xdr:colOff>
      <xdr:row>46</xdr:row>
      <xdr:rowOff>38100</xdr:rowOff>
    </xdr:from>
    <xdr:to>
      <xdr:col>7</xdr:col>
      <xdr:colOff>190500</xdr:colOff>
      <xdr:row>49</xdr:row>
      <xdr:rowOff>190500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01EF38A-0994-6B40-BDBE-E68B616E8D1A}"/>
            </a:ext>
          </a:extLst>
        </xdr:cNvPr>
        <xdr:cNvSpPr/>
      </xdr:nvSpPr>
      <xdr:spPr>
        <a:xfrm>
          <a:off x="4521200" y="99822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Coin</a:t>
          </a:r>
          <a:r>
            <a:rPr lang="en-US" sz="1800" baseline="0"/>
            <a:t> Exchange</a:t>
          </a:r>
          <a:endParaRPr lang="en-US" sz="1800"/>
        </a:p>
      </xdr:txBody>
    </xdr:sp>
    <xdr:clientData/>
  </xdr:twoCellAnchor>
  <xdr:twoCellAnchor>
    <xdr:from>
      <xdr:col>14</xdr:col>
      <xdr:colOff>1003300</xdr:colOff>
      <xdr:row>33</xdr:row>
      <xdr:rowOff>152400</xdr:rowOff>
    </xdr:from>
    <xdr:to>
      <xdr:col>16</xdr:col>
      <xdr:colOff>266700</xdr:colOff>
      <xdr:row>37</xdr:row>
      <xdr:rowOff>101600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FCAED9E-CC63-D345-A218-0912CA449244}"/>
            </a:ext>
          </a:extLst>
        </xdr:cNvPr>
        <xdr:cNvSpPr/>
      </xdr:nvSpPr>
      <xdr:spPr>
        <a:xfrm>
          <a:off x="12560300" y="76200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</a:t>
          </a:r>
          <a:r>
            <a:rPr lang="en-US" sz="2000" baseline="0"/>
            <a:t> Rate</a:t>
          </a:r>
          <a:endParaRPr lang="en-US" sz="2000"/>
        </a:p>
      </xdr:txBody>
    </xdr:sp>
    <xdr:clientData/>
  </xdr:twoCellAnchor>
  <xdr:twoCellAnchor>
    <xdr:from>
      <xdr:col>3</xdr:col>
      <xdr:colOff>419100</xdr:colOff>
      <xdr:row>56</xdr:row>
      <xdr:rowOff>0</xdr:rowOff>
    </xdr:from>
    <xdr:to>
      <xdr:col>7</xdr:col>
      <xdr:colOff>0</xdr:colOff>
      <xdr:row>58</xdr:row>
      <xdr:rowOff>165100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646DEC2-B2B2-2E40-92E9-E075A327118D}"/>
            </a:ext>
          </a:extLst>
        </xdr:cNvPr>
        <xdr:cNvSpPr/>
      </xdr:nvSpPr>
      <xdr:spPr>
        <a:xfrm>
          <a:off x="2895600" y="11988800"/>
          <a:ext cx="2882900" cy="5715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Status</a:t>
          </a:r>
        </a:p>
      </xdr:txBody>
    </xdr:sp>
    <xdr:clientData/>
  </xdr:twoCellAnchor>
  <xdr:twoCellAnchor>
    <xdr:from>
      <xdr:col>3</xdr:col>
      <xdr:colOff>431800</xdr:colOff>
      <xdr:row>59</xdr:row>
      <xdr:rowOff>177800</xdr:rowOff>
    </xdr:from>
    <xdr:to>
      <xdr:col>5</xdr:col>
      <xdr:colOff>228600</xdr:colOff>
      <xdr:row>62</xdr:row>
      <xdr:rowOff>177800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C64A867F-2AEB-7C42-8129-49ADE4E8B0C6}"/>
            </a:ext>
          </a:extLst>
        </xdr:cNvPr>
        <xdr:cNvSpPr/>
      </xdr:nvSpPr>
      <xdr:spPr>
        <a:xfrm>
          <a:off x="2908300" y="13970000"/>
          <a:ext cx="1447800" cy="914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Transaction</a:t>
          </a:r>
          <a:endParaRPr lang="en-US" sz="2000" b="1" baseline="0"/>
        </a:p>
        <a:p>
          <a:pPr algn="ctr"/>
          <a:r>
            <a:rPr lang="en-US" sz="2000" b="1" baseline="0"/>
            <a:t>Count</a:t>
          </a:r>
          <a:endParaRPr lang="en-US" sz="2000" b="1"/>
        </a:p>
      </xdr:txBody>
    </xdr:sp>
    <xdr:clientData/>
  </xdr:twoCellAnchor>
  <xdr:twoCellAnchor>
    <xdr:from>
      <xdr:col>6</xdr:col>
      <xdr:colOff>38100</xdr:colOff>
      <xdr:row>59</xdr:row>
      <xdr:rowOff>177800</xdr:rowOff>
    </xdr:from>
    <xdr:to>
      <xdr:col>8</xdr:col>
      <xdr:colOff>0</xdr:colOff>
      <xdr:row>62</xdr:row>
      <xdr:rowOff>177800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AEF4977-2CD3-0241-A23D-4DC2C83CC85D}"/>
            </a:ext>
          </a:extLst>
        </xdr:cNvPr>
        <xdr:cNvSpPr/>
      </xdr:nvSpPr>
      <xdr:spPr>
        <a:xfrm>
          <a:off x="4991100" y="13970000"/>
          <a:ext cx="1612900" cy="914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User</a:t>
          </a:r>
          <a:r>
            <a:rPr lang="en-US" sz="2000" b="1" baseline="0"/>
            <a:t> Register</a:t>
          </a:r>
        </a:p>
        <a:p>
          <a:pPr algn="ctr"/>
          <a:r>
            <a:rPr lang="en-US" sz="2000" b="1" baseline="0"/>
            <a:t>Count</a:t>
          </a:r>
          <a:endParaRPr lang="en-US" sz="2000" b="1"/>
        </a:p>
      </xdr:txBody>
    </xdr:sp>
    <xdr:clientData/>
  </xdr:twoCellAnchor>
  <xdr:twoCellAnchor>
    <xdr:from>
      <xdr:col>8</xdr:col>
      <xdr:colOff>571500</xdr:colOff>
      <xdr:row>59</xdr:row>
      <xdr:rowOff>190500</xdr:rowOff>
    </xdr:from>
    <xdr:to>
      <xdr:col>10</xdr:col>
      <xdr:colOff>368300</xdr:colOff>
      <xdr:row>62</xdr:row>
      <xdr:rowOff>190500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28FFD55-824E-8842-8AA9-E61DF496390D}"/>
            </a:ext>
          </a:extLst>
        </xdr:cNvPr>
        <xdr:cNvSpPr/>
      </xdr:nvSpPr>
      <xdr:spPr>
        <a:xfrm>
          <a:off x="7175500" y="13982700"/>
          <a:ext cx="1447800" cy="914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Coin Rate</a:t>
          </a:r>
        </a:p>
        <a:p>
          <a:pPr algn="ctr"/>
          <a:r>
            <a:rPr lang="en-US" sz="2000" b="1"/>
            <a:t>/Using Coin</a:t>
          </a:r>
        </a:p>
      </xdr:txBody>
    </xdr:sp>
    <xdr:clientData/>
  </xdr:twoCellAnchor>
  <xdr:twoCellAnchor>
    <xdr:from>
      <xdr:col>11</xdr:col>
      <xdr:colOff>76200</xdr:colOff>
      <xdr:row>59</xdr:row>
      <xdr:rowOff>190500</xdr:rowOff>
    </xdr:from>
    <xdr:to>
      <xdr:col>12</xdr:col>
      <xdr:colOff>774700</xdr:colOff>
      <xdr:row>62</xdr:row>
      <xdr:rowOff>190500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F420C9C-64A3-9947-A38B-AD9F61414A55}"/>
            </a:ext>
          </a:extLst>
        </xdr:cNvPr>
        <xdr:cNvSpPr/>
      </xdr:nvSpPr>
      <xdr:spPr>
        <a:xfrm>
          <a:off x="9156700" y="13982700"/>
          <a:ext cx="1524000" cy="914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Today Order </a:t>
          </a:r>
        </a:p>
        <a:p>
          <a:pPr algn="ctr"/>
          <a:r>
            <a:rPr lang="en-US" sz="2000" b="1"/>
            <a:t>Count</a:t>
          </a:r>
        </a:p>
      </xdr:txBody>
    </xdr:sp>
    <xdr:clientData/>
  </xdr:twoCellAnchor>
  <xdr:twoCellAnchor>
    <xdr:from>
      <xdr:col>0</xdr:col>
      <xdr:colOff>469900</xdr:colOff>
      <xdr:row>27</xdr:row>
      <xdr:rowOff>190500</xdr:rowOff>
    </xdr:from>
    <xdr:to>
      <xdr:col>2</xdr:col>
      <xdr:colOff>266700</xdr:colOff>
      <xdr:row>31</xdr:row>
      <xdr:rowOff>139700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244F2A3-016E-C742-8C6F-9E29AF376790}"/>
            </a:ext>
          </a:extLst>
        </xdr:cNvPr>
        <xdr:cNvSpPr/>
      </xdr:nvSpPr>
      <xdr:spPr>
        <a:xfrm>
          <a:off x="469900" y="62738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Status</a:t>
          </a:r>
        </a:p>
      </xdr:txBody>
    </xdr:sp>
    <xdr:clientData/>
  </xdr:twoCellAnchor>
  <xdr:twoCellAnchor>
    <xdr:from>
      <xdr:col>0</xdr:col>
      <xdr:colOff>457200</xdr:colOff>
      <xdr:row>34</xdr:row>
      <xdr:rowOff>50800</xdr:rowOff>
    </xdr:from>
    <xdr:to>
      <xdr:col>2</xdr:col>
      <xdr:colOff>254000</xdr:colOff>
      <xdr:row>38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71EACD2-8565-A042-957F-D8AF0333F83F}"/>
            </a:ext>
          </a:extLst>
        </xdr:cNvPr>
        <xdr:cNvSpPr/>
      </xdr:nvSpPr>
      <xdr:spPr>
        <a:xfrm>
          <a:off x="457200" y="75565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Listing</a:t>
          </a:r>
        </a:p>
      </xdr:txBody>
    </xdr:sp>
    <xdr:clientData/>
  </xdr:twoCellAnchor>
  <xdr:twoCellAnchor>
    <xdr:from>
      <xdr:col>3</xdr:col>
      <xdr:colOff>444500</xdr:colOff>
      <xdr:row>66</xdr:row>
      <xdr:rowOff>63500</xdr:rowOff>
    </xdr:from>
    <xdr:to>
      <xdr:col>7</xdr:col>
      <xdr:colOff>88900</xdr:colOff>
      <xdr:row>69</xdr:row>
      <xdr:rowOff>38100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3B86A1E-9E60-8E41-9D94-135E289D1345}"/>
            </a:ext>
          </a:extLst>
        </xdr:cNvPr>
        <xdr:cNvSpPr/>
      </xdr:nvSpPr>
      <xdr:spPr>
        <a:xfrm>
          <a:off x="2921000" y="14084300"/>
          <a:ext cx="2946400" cy="5842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Listing</a:t>
          </a:r>
        </a:p>
      </xdr:txBody>
    </xdr:sp>
    <xdr:clientData/>
  </xdr:twoCellAnchor>
  <xdr:twoCellAnchor>
    <xdr:from>
      <xdr:col>3</xdr:col>
      <xdr:colOff>406400</xdr:colOff>
      <xdr:row>70</xdr:row>
      <xdr:rowOff>114300</xdr:rowOff>
    </xdr:from>
    <xdr:to>
      <xdr:col>5</xdr:col>
      <xdr:colOff>800100</xdr:colOff>
      <xdr:row>74</xdr:row>
      <xdr:rowOff>139700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598F92A7-25CF-394A-8FF6-26E704B73D34}"/>
            </a:ext>
          </a:extLst>
        </xdr:cNvPr>
        <xdr:cNvSpPr/>
      </xdr:nvSpPr>
      <xdr:spPr>
        <a:xfrm>
          <a:off x="2882900" y="16573500"/>
          <a:ext cx="2044700" cy="8382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</a:t>
          </a:r>
        </a:p>
        <a:p>
          <a:pPr algn="ctr"/>
          <a:r>
            <a:rPr lang="en-US" sz="2000" b="1"/>
            <a:t>Transaction</a:t>
          </a:r>
          <a:r>
            <a:rPr lang="en-US" sz="2000" b="1" baseline="0"/>
            <a:t> List</a:t>
          </a:r>
        </a:p>
      </xdr:txBody>
    </xdr:sp>
    <xdr:clientData/>
  </xdr:twoCellAnchor>
  <xdr:twoCellAnchor>
    <xdr:from>
      <xdr:col>6</xdr:col>
      <xdr:colOff>584200</xdr:colOff>
      <xdr:row>70</xdr:row>
      <xdr:rowOff>152400</xdr:rowOff>
    </xdr:from>
    <xdr:to>
      <xdr:col>8</xdr:col>
      <xdr:colOff>381000</xdr:colOff>
      <xdr:row>74</xdr:row>
      <xdr:rowOff>101600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E82B43D-1524-314B-97E6-3D36ED661339}"/>
            </a:ext>
          </a:extLst>
        </xdr:cNvPr>
        <xdr:cNvSpPr/>
      </xdr:nvSpPr>
      <xdr:spPr>
        <a:xfrm>
          <a:off x="5537200" y="166116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Customer Info List</a:t>
          </a:r>
          <a:endParaRPr lang="en-US" sz="2000" b="1" baseline="0"/>
        </a:p>
      </xdr:txBody>
    </xdr:sp>
    <xdr:clientData/>
  </xdr:twoCellAnchor>
  <xdr:twoCellAnchor>
    <xdr:from>
      <xdr:col>9</xdr:col>
      <xdr:colOff>88900</xdr:colOff>
      <xdr:row>70</xdr:row>
      <xdr:rowOff>152400</xdr:rowOff>
    </xdr:from>
    <xdr:to>
      <xdr:col>10</xdr:col>
      <xdr:colOff>711200</xdr:colOff>
      <xdr:row>74</xdr:row>
      <xdr:rowOff>101600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55982B6-B190-5849-9F9A-C269E6A844C0}"/>
            </a:ext>
          </a:extLst>
        </xdr:cNvPr>
        <xdr:cNvSpPr/>
      </xdr:nvSpPr>
      <xdr:spPr>
        <a:xfrm>
          <a:off x="7518400" y="166116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Product</a:t>
          </a:r>
          <a:r>
            <a:rPr lang="en-US" sz="2000" b="1" baseline="0"/>
            <a:t> </a:t>
          </a:r>
          <a:r>
            <a:rPr lang="en-US" sz="2000" b="1"/>
            <a:t>List</a:t>
          </a:r>
          <a:endParaRPr lang="en-US" sz="2000" b="1" baseline="0"/>
        </a:p>
      </xdr:txBody>
    </xdr:sp>
    <xdr:clientData/>
  </xdr:twoCellAnchor>
  <xdr:twoCellAnchor>
    <xdr:from>
      <xdr:col>3</xdr:col>
      <xdr:colOff>50800</xdr:colOff>
      <xdr:row>34</xdr:row>
      <xdr:rowOff>50800</xdr:rowOff>
    </xdr:from>
    <xdr:to>
      <xdr:col>4</xdr:col>
      <xdr:colOff>787400</xdr:colOff>
      <xdr:row>38</xdr:row>
      <xdr:rowOff>88900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3538AD6-BE31-6A4C-B27E-0AFAAD549BBA}"/>
            </a:ext>
          </a:extLst>
        </xdr:cNvPr>
        <xdr:cNvSpPr/>
      </xdr:nvSpPr>
      <xdr:spPr>
        <a:xfrm>
          <a:off x="2527300" y="8445500"/>
          <a:ext cx="1562100" cy="8509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 Charge</a:t>
          </a:r>
        </a:p>
        <a:p>
          <a:pPr algn="ctr"/>
          <a:r>
            <a:rPr lang="en-US" sz="2000"/>
            <a:t>Transaction </a:t>
          </a:r>
        </a:p>
      </xdr:txBody>
    </xdr:sp>
    <xdr:clientData/>
  </xdr:twoCellAnchor>
  <xdr:twoCellAnchor>
    <xdr:from>
      <xdr:col>1</xdr:col>
      <xdr:colOff>762000</xdr:colOff>
      <xdr:row>34</xdr:row>
      <xdr:rowOff>114300</xdr:rowOff>
    </xdr:from>
    <xdr:to>
      <xdr:col>2</xdr:col>
      <xdr:colOff>203200</xdr:colOff>
      <xdr:row>36</xdr:row>
      <xdr:rowOff>0</xdr:rowOff>
    </xdr:to>
    <xdr:sp macro="" textlink="">
      <xdr:nvSpPr>
        <xdr:cNvPr id="56" name="7-Point Star 55">
          <a:extLst>
            <a:ext uri="{FF2B5EF4-FFF2-40B4-BE49-F238E27FC236}">
              <a16:creationId xmlns:a16="http://schemas.microsoft.com/office/drawing/2014/main" id="{5759A81D-8306-FD49-9279-13B0A7495DF2}"/>
            </a:ext>
          </a:extLst>
        </xdr:cNvPr>
        <xdr:cNvSpPr/>
      </xdr:nvSpPr>
      <xdr:spPr>
        <a:xfrm>
          <a:off x="1587500" y="7620000"/>
          <a:ext cx="266700" cy="2921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419100</xdr:colOff>
      <xdr:row>70</xdr:row>
      <xdr:rowOff>127000</xdr:rowOff>
    </xdr:from>
    <xdr:to>
      <xdr:col>14</xdr:col>
      <xdr:colOff>127000</xdr:colOff>
      <xdr:row>74</xdr:row>
      <xdr:rowOff>76200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22F79E3-3B4B-1641-80BF-57C417F34BD7}"/>
            </a:ext>
          </a:extLst>
        </xdr:cNvPr>
        <xdr:cNvSpPr/>
      </xdr:nvSpPr>
      <xdr:spPr>
        <a:xfrm>
          <a:off x="9499600" y="16586200"/>
          <a:ext cx="21844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Coin Charge</a:t>
          </a:r>
        </a:p>
        <a:p>
          <a:pPr algn="ctr"/>
          <a:r>
            <a:rPr lang="en-US" sz="2000" b="1"/>
            <a:t>Transaction</a:t>
          </a:r>
          <a:r>
            <a:rPr lang="en-US" sz="2000" b="1" baseline="0"/>
            <a:t> List</a:t>
          </a:r>
        </a:p>
      </xdr:txBody>
    </xdr:sp>
    <xdr:clientData/>
  </xdr:twoCellAnchor>
  <xdr:twoCellAnchor>
    <xdr:from>
      <xdr:col>0</xdr:col>
      <xdr:colOff>0</xdr:colOff>
      <xdr:row>54</xdr:row>
      <xdr:rowOff>12700</xdr:rowOff>
    </xdr:from>
    <xdr:to>
      <xdr:col>2</xdr:col>
      <xdr:colOff>279400</xdr:colOff>
      <xdr:row>56</xdr:row>
      <xdr:rowOff>177800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D53D968-FE6D-0C49-8E6F-C1C8A5AD178C}"/>
            </a:ext>
          </a:extLst>
        </xdr:cNvPr>
        <xdr:cNvSpPr/>
      </xdr:nvSpPr>
      <xdr:spPr>
        <a:xfrm>
          <a:off x="0" y="11595100"/>
          <a:ext cx="1930400" cy="571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/>
            <a:t>Dashboard</a:t>
          </a:r>
          <a:r>
            <a:rPr lang="en-US" sz="2200" b="1" baseline="0"/>
            <a:t> </a:t>
          </a:r>
          <a:endParaRPr lang="en-US" sz="2200" b="1"/>
        </a:p>
      </xdr:txBody>
    </xdr:sp>
    <xdr:clientData/>
  </xdr:twoCellAnchor>
  <xdr:twoCellAnchor>
    <xdr:from>
      <xdr:col>0</xdr:col>
      <xdr:colOff>0</xdr:colOff>
      <xdr:row>77</xdr:row>
      <xdr:rowOff>0</xdr:rowOff>
    </xdr:from>
    <xdr:to>
      <xdr:col>2</xdr:col>
      <xdr:colOff>76200</xdr:colOff>
      <xdr:row>80</xdr:row>
      <xdr:rowOff>25400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866291A-4A8B-9D4E-98CF-7CA1103232B4}"/>
            </a:ext>
          </a:extLst>
        </xdr:cNvPr>
        <xdr:cNvSpPr/>
      </xdr:nvSpPr>
      <xdr:spPr>
        <a:xfrm>
          <a:off x="0" y="16268700"/>
          <a:ext cx="1727200" cy="635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/>
            <a:t>Transaction</a:t>
          </a:r>
        </a:p>
      </xdr:txBody>
    </xdr:sp>
    <xdr:clientData/>
  </xdr:twoCellAnchor>
  <xdr:twoCellAnchor>
    <xdr:from>
      <xdr:col>3</xdr:col>
      <xdr:colOff>355600</xdr:colOff>
      <xdr:row>81</xdr:row>
      <xdr:rowOff>101600</xdr:rowOff>
    </xdr:from>
    <xdr:to>
      <xdr:col>6</xdr:col>
      <xdr:colOff>635000</xdr:colOff>
      <xdr:row>84</xdr:row>
      <xdr:rowOff>76200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4A80A680-3BC1-F140-9453-C6FFA5C824AB}"/>
            </a:ext>
          </a:extLst>
        </xdr:cNvPr>
        <xdr:cNvSpPr/>
      </xdr:nvSpPr>
      <xdr:spPr>
        <a:xfrm>
          <a:off x="2832100" y="17183100"/>
          <a:ext cx="2755900" cy="5842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 Transaction </a:t>
          </a:r>
        </a:p>
      </xdr:txBody>
    </xdr:sp>
    <xdr:clientData/>
  </xdr:twoCellAnchor>
  <xdr:twoCellAnchor>
    <xdr:from>
      <xdr:col>3</xdr:col>
      <xdr:colOff>368300</xdr:colOff>
      <xdr:row>86</xdr:row>
      <xdr:rowOff>12700</xdr:rowOff>
    </xdr:from>
    <xdr:to>
      <xdr:col>5</xdr:col>
      <xdr:colOff>165100</xdr:colOff>
      <xdr:row>89</xdr:row>
      <xdr:rowOff>165100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51B6764-D0BF-C444-A774-E605D9F24EC9}"/>
            </a:ext>
          </a:extLst>
        </xdr:cNvPr>
        <xdr:cNvSpPr/>
      </xdr:nvSpPr>
      <xdr:spPr>
        <a:xfrm>
          <a:off x="2844800" y="181102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 List</a:t>
          </a:r>
        </a:p>
      </xdr:txBody>
    </xdr:sp>
    <xdr:clientData/>
  </xdr:twoCellAnchor>
  <xdr:twoCellAnchor>
    <xdr:from>
      <xdr:col>6</xdr:col>
      <xdr:colOff>0</xdr:colOff>
      <xdr:row>86</xdr:row>
      <xdr:rowOff>0</xdr:rowOff>
    </xdr:from>
    <xdr:to>
      <xdr:col>7</xdr:col>
      <xdr:colOff>736600</xdr:colOff>
      <xdr:row>89</xdr:row>
      <xdr:rowOff>152400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B2AC3F8-5260-0142-AD9B-48CDCE28A645}"/>
            </a:ext>
          </a:extLst>
        </xdr:cNvPr>
        <xdr:cNvSpPr/>
      </xdr:nvSpPr>
      <xdr:spPr>
        <a:xfrm>
          <a:off x="4953000" y="19723100"/>
          <a:ext cx="15621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 Detail</a:t>
          </a:r>
        </a:p>
      </xdr:txBody>
    </xdr:sp>
    <xdr:clientData/>
  </xdr:twoCellAnchor>
  <xdr:twoCellAnchor>
    <xdr:from>
      <xdr:col>3</xdr:col>
      <xdr:colOff>342900</xdr:colOff>
      <xdr:row>92</xdr:row>
      <xdr:rowOff>101600</xdr:rowOff>
    </xdr:from>
    <xdr:to>
      <xdr:col>6</xdr:col>
      <xdr:colOff>622300</xdr:colOff>
      <xdr:row>95</xdr:row>
      <xdr:rowOff>190500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B2C3615-FBEB-CF49-B81C-18895E50F48B}"/>
            </a:ext>
          </a:extLst>
        </xdr:cNvPr>
        <xdr:cNvSpPr/>
      </xdr:nvSpPr>
      <xdr:spPr>
        <a:xfrm>
          <a:off x="2819400" y="19418300"/>
          <a:ext cx="2755900" cy="6985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Coin Charge</a:t>
          </a:r>
        </a:p>
        <a:p>
          <a:pPr algn="ctr"/>
          <a:r>
            <a:rPr lang="en-US" sz="2000" b="1"/>
            <a:t>Transaction </a:t>
          </a:r>
        </a:p>
      </xdr:txBody>
    </xdr:sp>
    <xdr:clientData/>
  </xdr:twoCellAnchor>
  <xdr:twoCellAnchor>
    <xdr:from>
      <xdr:col>3</xdr:col>
      <xdr:colOff>330200</xdr:colOff>
      <xdr:row>98</xdr:row>
      <xdr:rowOff>12700</xdr:rowOff>
    </xdr:from>
    <xdr:to>
      <xdr:col>5</xdr:col>
      <xdr:colOff>288636</xdr:colOff>
      <xdr:row>100</xdr:row>
      <xdr:rowOff>173182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2F9FC0D-6F91-6644-AADA-F24846B355E8}"/>
            </a:ext>
          </a:extLst>
        </xdr:cNvPr>
        <xdr:cNvSpPr/>
      </xdr:nvSpPr>
      <xdr:spPr>
        <a:xfrm>
          <a:off x="2824018" y="22468609"/>
          <a:ext cx="1620982" cy="57611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Charge List</a:t>
          </a:r>
        </a:p>
      </xdr:txBody>
    </xdr:sp>
    <xdr:clientData/>
  </xdr:twoCellAnchor>
  <xdr:twoCellAnchor>
    <xdr:from>
      <xdr:col>5</xdr:col>
      <xdr:colOff>831271</xdr:colOff>
      <xdr:row>97</xdr:row>
      <xdr:rowOff>207817</xdr:rowOff>
    </xdr:from>
    <xdr:to>
      <xdr:col>8</xdr:col>
      <xdr:colOff>196272</xdr:colOff>
      <xdr:row>100</xdr:row>
      <xdr:rowOff>150090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46FEA19-DF86-AF42-B256-982B67FD2A90}"/>
            </a:ext>
          </a:extLst>
        </xdr:cNvPr>
        <xdr:cNvSpPr/>
      </xdr:nvSpPr>
      <xdr:spPr>
        <a:xfrm>
          <a:off x="4987635" y="22455908"/>
          <a:ext cx="1858819" cy="56572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Charge Detail</a:t>
          </a:r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9</xdr:col>
      <xdr:colOff>622300</xdr:colOff>
      <xdr:row>24</xdr:row>
      <xdr:rowOff>152400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31AC42F-4415-A54E-BF40-C2A6ABDCEC2E}"/>
            </a:ext>
          </a:extLst>
        </xdr:cNvPr>
        <xdr:cNvSpPr/>
      </xdr:nvSpPr>
      <xdr:spPr>
        <a:xfrm>
          <a:off x="6604000" y="48641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Customer</a:t>
          </a:r>
        </a:p>
      </xdr:txBody>
    </xdr:sp>
    <xdr:clientData/>
  </xdr:twoCellAnchor>
  <xdr:twoCellAnchor>
    <xdr:from>
      <xdr:col>8</xdr:col>
      <xdr:colOff>38100</xdr:colOff>
      <xdr:row>27</xdr:row>
      <xdr:rowOff>190500</xdr:rowOff>
    </xdr:from>
    <xdr:to>
      <xdr:col>9</xdr:col>
      <xdr:colOff>660400</xdr:colOff>
      <xdr:row>31</xdr:row>
      <xdr:rowOff>139700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EC5B925-7BAC-9741-A3AC-B4B6012FE512}"/>
            </a:ext>
          </a:extLst>
        </xdr:cNvPr>
        <xdr:cNvSpPr/>
      </xdr:nvSpPr>
      <xdr:spPr>
        <a:xfrm>
          <a:off x="6642100" y="62738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Listing</a:t>
          </a:r>
        </a:p>
      </xdr:txBody>
    </xdr:sp>
    <xdr:clientData/>
  </xdr:twoCellAnchor>
  <xdr:twoCellAnchor>
    <xdr:from>
      <xdr:col>8</xdr:col>
      <xdr:colOff>50800</xdr:colOff>
      <xdr:row>34</xdr:row>
      <xdr:rowOff>38100</xdr:rowOff>
    </xdr:from>
    <xdr:to>
      <xdr:col>9</xdr:col>
      <xdr:colOff>673100</xdr:colOff>
      <xdr:row>37</xdr:row>
      <xdr:rowOff>190500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1DF7130-6B53-114E-A252-419D67516026}"/>
            </a:ext>
          </a:extLst>
        </xdr:cNvPr>
        <xdr:cNvSpPr/>
      </xdr:nvSpPr>
      <xdr:spPr>
        <a:xfrm>
          <a:off x="6654800" y="75438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Search Customer</a:t>
          </a:r>
        </a:p>
      </xdr:txBody>
    </xdr:sp>
    <xdr:clientData/>
  </xdr:twoCellAnchor>
  <xdr:twoCellAnchor>
    <xdr:from>
      <xdr:col>8</xdr:col>
      <xdr:colOff>63500</xdr:colOff>
      <xdr:row>40</xdr:row>
      <xdr:rowOff>76200</xdr:rowOff>
    </xdr:from>
    <xdr:to>
      <xdr:col>9</xdr:col>
      <xdr:colOff>723900</xdr:colOff>
      <xdr:row>44</xdr:row>
      <xdr:rowOff>88900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E04DD69-B7A4-CC4C-B8BB-4FD2BBC0FD38}"/>
            </a:ext>
          </a:extLst>
        </xdr:cNvPr>
        <xdr:cNvSpPr/>
      </xdr:nvSpPr>
      <xdr:spPr>
        <a:xfrm>
          <a:off x="6667500" y="10045700"/>
          <a:ext cx="1485900" cy="8255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Customer</a:t>
          </a:r>
        </a:p>
        <a:p>
          <a:pPr algn="ctr"/>
          <a:r>
            <a:rPr lang="en-US" sz="2000"/>
            <a:t>Info Detail</a:t>
          </a:r>
        </a:p>
      </xdr:txBody>
    </xdr:sp>
    <xdr:clientData/>
  </xdr:twoCellAnchor>
  <xdr:twoCellAnchor>
    <xdr:from>
      <xdr:col>13</xdr:col>
      <xdr:colOff>457200</xdr:colOff>
      <xdr:row>59</xdr:row>
      <xdr:rowOff>203200</xdr:rowOff>
    </xdr:from>
    <xdr:to>
      <xdr:col>14</xdr:col>
      <xdr:colOff>1079500</xdr:colOff>
      <xdr:row>62</xdr:row>
      <xdr:rowOff>203200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28C988B6-2FB8-4142-8C3E-F26E322FACA0}"/>
            </a:ext>
          </a:extLst>
        </xdr:cNvPr>
        <xdr:cNvSpPr/>
      </xdr:nvSpPr>
      <xdr:spPr>
        <a:xfrm>
          <a:off x="11188700" y="13995400"/>
          <a:ext cx="1447800" cy="914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Top</a:t>
          </a:r>
          <a:r>
            <a:rPr lang="en-US" sz="2000" b="1" baseline="0"/>
            <a:t> 3 Product</a:t>
          </a:r>
          <a:endParaRPr lang="en-US" sz="2000" b="1"/>
        </a:p>
      </xdr:txBody>
    </xdr:sp>
    <xdr:clientData/>
  </xdr:twoCellAnchor>
  <xdr:twoCellAnchor>
    <xdr:from>
      <xdr:col>0</xdr:col>
      <xdr:colOff>0</xdr:colOff>
      <xdr:row>102</xdr:row>
      <xdr:rowOff>0</xdr:rowOff>
    </xdr:from>
    <xdr:to>
      <xdr:col>2</xdr:col>
      <xdr:colOff>76200</xdr:colOff>
      <xdr:row>105</xdr:row>
      <xdr:rowOff>25400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CEFFA9F-1692-7442-B073-F16DB8FE5A94}"/>
            </a:ext>
          </a:extLst>
        </xdr:cNvPr>
        <xdr:cNvSpPr/>
      </xdr:nvSpPr>
      <xdr:spPr>
        <a:xfrm>
          <a:off x="0" y="22783800"/>
          <a:ext cx="1727200" cy="635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Coin</a:t>
          </a:r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6</xdr:col>
      <xdr:colOff>431800</xdr:colOff>
      <xdr:row>109</xdr:row>
      <xdr:rowOff>152400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CB9FA21-C866-B244-B22A-CA8584362C50}"/>
            </a:ext>
          </a:extLst>
        </xdr:cNvPr>
        <xdr:cNvSpPr/>
      </xdr:nvSpPr>
      <xdr:spPr>
        <a:xfrm>
          <a:off x="2476500" y="23596600"/>
          <a:ext cx="29083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Listing </a:t>
          </a:r>
        </a:p>
      </xdr:txBody>
    </xdr:sp>
    <xdr:clientData/>
  </xdr:twoCellAnchor>
  <xdr:twoCellAnchor>
    <xdr:from>
      <xdr:col>2</xdr:col>
      <xdr:colOff>787400</xdr:colOff>
      <xdr:row>112</xdr:row>
      <xdr:rowOff>0</xdr:rowOff>
    </xdr:from>
    <xdr:to>
      <xdr:col>5</xdr:col>
      <xdr:colOff>152400</xdr:colOff>
      <xdr:row>115</xdr:row>
      <xdr:rowOff>152400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5F5E2C4-D9F2-EE4A-8E4D-A226171E27C8}"/>
            </a:ext>
          </a:extLst>
        </xdr:cNvPr>
        <xdr:cNvSpPr/>
      </xdr:nvSpPr>
      <xdr:spPr>
        <a:xfrm>
          <a:off x="2438400" y="26441400"/>
          <a:ext cx="18415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Request Listing</a:t>
          </a:r>
          <a:endParaRPr lang="en-US" sz="2000" b="1"/>
        </a:p>
      </xdr:txBody>
    </xdr:sp>
    <xdr:clientData/>
  </xdr:twoCellAnchor>
  <xdr:twoCellAnchor>
    <xdr:from>
      <xdr:col>5</xdr:col>
      <xdr:colOff>546100</xdr:colOff>
      <xdr:row>111</xdr:row>
      <xdr:rowOff>190500</xdr:rowOff>
    </xdr:from>
    <xdr:to>
      <xdr:col>7</xdr:col>
      <xdr:colOff>342900</xdr:colOff>
      <xdr:row>130</xdr:row>
      <xdr:rowOff>152400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D3F2DCC-C79D-6747-A24E-1A4610B91B4F}"/>
            </a:ext>
          </a:extLst>
        </xdr:cNvPr>
        <xdr:cNvSpPr/>
      </xdr:nvSpPr>
      <xdr:spPr>
        <a:xfrm>
          <a:off x="4673600" y="26428700"/>
          <a:ext cx="1447800" cy="38227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Detail</a:t>
          </a:r>
          <a:endParaRPr lang="en-US" sz="2000" b="1"/>
        </a:p>
      </xdr:txBody>
    </xdr:sp>
    <xdr:clientData/>
  </xdr:twoCellAnchor>
  <xdr:twoCellAnchor>
    <xdr:from>
      <xdr:col>2</xdr:col>
      <xdr:colOff>774700</xdr:colOff>
      <xdr:row>121</xdr:row>
      <xdr:rowOff>127000</xdr:rowOff>
    </xdr:from>
    <xdr:to>
      <xdr:col>5</xdr:col>
      <xdr:colOff>152400</xdr:colOff>
      <xdr:row>125</xdr:row>
      <xdr:rowOff>76200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4600BE45-CB4D-CA4C-B692-93F1667C0546}"/>
            </a:ext>
          </a:extLst>
        </xdr:cNvPr>
        <xdr:cNvSpPr/>
      </xdr:nvSpPr>
      <xdr:spPr>
        <a:xfrm>
          <a:off x="2425700" y="28397200"/>
          <a:ext cx="18542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Approve Listing</a:t>
          </a:r>
          <a:endParaRPr lang="en-US" sz="2000" b="1"/>
        </a:p>
      </xdr:txBody>
    </xdr:sp>
    <xdr:clientData/>
  </xdr:twoCellAnchor>
  <xdr:twoCellAnchor>
    <xdr:from>
      <xdr:col>2</xdr:col>
      <xdr:colOff>774700</xdr:colOff>
      <xdr:row>126</xdr:row>
      <xdr:rowOff>127000</xdr:rowOff>
    </xdr:from>
    <xdr:to>
      <xdr:col>5</xdr:col>
      <xdr:colOff>127000</xdr:colOff>
      <xdr:row>130</xdr:row>
      <xdr:rowOff>76200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4B317D9-B74D-124E-998C-A57CFD21B5D4}"/>
            </a:ext>
          </a:extLst>
        </xdr:cNvPr>
        <xdr:cNvSpPr/>
      </xdr:nvSpPr>
      <xdr:spPr>
        <a:xfrm>
          <a:off x="2425700" y="29413200"/>
          <a:ext cx="1828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Reject Listing</a:t>
          </a:r>
          <a:endParaRPr lang="en-US" sz="2000" b="1"/>
        </a:p>
      </xdr:txBody>
    </xdr:sp>
    <xdr:clientData/>
  </xdr:twoCellAnchor>
  <xdr:twoCellAnchor>
    <xdr:from>
      <xdr:col>8</xdr:col>
      <xdr:colOff>0</xdr:colOff>
      <xdr:row>112</xdr:row>
      <xdr:rowOff>0</xdr:rowOff>
    </xdr:from>
    <xdr:to>
      <xdr:col>9</xdr:col>
      <xdr:colOff>622300</xdr:colOff>
      <xdr:row>120</xdr:row>
      <xdr:rowOff>101600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6F045DA-664D-1343-AFEB-E7CDEA073B97}"/>
            </a:ext>
          </a:extLst>
        </xdr:cNvPr>
        <xdr:cNvSpPr/>
      </xdr:nvSpPr>
      <xdr:spPr>
        <a:xfrm>
          <a:off x="6604000" y="24815800"/>
          <a:ext cx="1447800" cy="17272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Decision</a:t>
          </a:r>
          <a:endParaRPr lang="en-US" sz="2000" b="1"/>
        </a:p>
      </xdr:txBody>
    </xdr:sp>
    <xdr:clientData/>
  </xdr:twoCellAnchor>
  <xdr:twoCellAnchor>
    <xdr:from>
      <xdr:col>2</xdr:col>
      <xdr:colOff>787400</xdr:colOff>
      <xdr:row>116</xdr:row>
      <xdr:rowOff>139700</xdr:rowOff>
    </xdr:from>
    <xdr:to>
      <xdr:col>5</xdr:col>
      <xdr:colOff>165100</xdr:colOff>
      <xdr:row>120</xdr:row>
      <xdr:rowOff>88900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6C55F22-D9FF-0B44-BA57-888607FF8323}"/>
            </a:ext>
          </a:extLst>
        </xdr:cNvPr>
        <xdr:cNvSpPr/>
      </xdr:nvSpPr>
      <xdr:spPr>
        <a:xfrm>
          <a:off x="2438400" y="27393900"/>
          <a:ext cx="18542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Wating Listing</a:t>
          </a:r>
          <a:endParaRPr lang="en-US" sz="2000" b="1"/>
        </a:p>
      </xdr:txBody>
    </xdr:sp>
    <xdr:clientData/>
  </xdr:twoCellAnchor>
  <xdr:twoCellAnchor>
    <xdr:from>
      <xdr:col>8</xdr:col>
      <xdr:colOff>0</xdr:colOff>
      <xdr:row>122</xdr:row>
      <xdr:rowOff>25400</xdr:rowOff>
    </xdr:from>
    <xdr:to>
      <xdr:col>9</xdr:col>
      <xdr:colOff>622300</xdr:colOff>
      <xdr:row>125</xdr:row>
      <xdr:rowOff>177800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F6FFF79-2E43-5942-A71D-D01EF531601A}"/>
            </a:ext>
          </a:extLst>
        </xdr:cNvPr>
        <xdr:cNvSpPr/>
      </xdr:nvSpPr>
      <xdr:spPr>
        <a:xfrm>
          <a:off x="6604000" y="268732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Re-Decision</a:t>
          </a:r>
          <a:endParaRPr lang="en-US" sz="2000" b="1"/>
        </a:p>
      </xdr:txBody>
    </xdr:sp>
    <xdr:clientData/>
  </xdr:twoCellAnchor>
  <xdr:twoCellAnchor>
    <xdr:from>
      <xdr:col>2</xdr:col>
      <xdr:colOff>812800</xdr:colOff>
      <xdr:row>133</xdr:row>
      <xdr:rowOff>177800</xdr:rowOff>
    </xdr:from>
    <xdr:to>
      <xdr:col>6</xdr:col>
      <xdr:colOff>444500</xdr:colOff>
      <xdr:row>137</xdr:row>
      <xdr:rowOff>127000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1A81156-45C9-DA4E-87A4-4885152BE8F5}"/>
            </a:ext>
          </a:extLst>
        </xdr:cNvPr>
        <xdr:cNvSpPr/>
      </xdr:nvSpPr>
      <xdr:spPr>
        <a:xfrm>
          <a:off x="2463800" y="29260800"/>
          <a:ext cx="2933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Add Coin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812800</xdr:colOff>
      <xdr:row>143</xdr:row>
      <xdr:rowOff>152400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41AA21F-EFE2-A943-8EA2-F16301CBB46B}"/>
            </a:ext>
          </a:extLst>
        </xdr:cNvPr>
        <xdr:cNvSpPr/>
      </xdr:nvSpPr>
      <xdr:spPr>
        <a:xfrm>
          <a:off x="2476500" y="32131000"/>
          <a:ext cx="16383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Search </a:t>
          </a:r>
          <a:r>
            <a:rPr lang="en-US" sz="2000" b="1" baseline="0"/>
            <a:t>By ID</a:t>
          </a:r>
          <a:endParaRPr lang="en-US" sz="2000" b="1"/>
        </a:p>
      </xdr:txBody>
    </xdr:sp>
    <xdr:clientData/>
  </xdr:twoCellAnchor>
  <xdr:twoCellAnchor>
    <xdr:from>
      <xdr:col>5</xdr:col>
      <xdr:colOff>355600</xdr:colOff>
      <xdr:row>139</xdr:row>
      <xdr:rowOff>190500</xdr:rowOff>
    </xdr:from>
    <xdr:to>
      <xdr:col>7</xdr:col>
      <xdr:colOff>152400</xdr:colOff>
      <xdr:row>143</xdr:row>
      <xdr:rowOff>139700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7B817E32-00C8-FB4D-88CB-4135EF29D07A}"/>
            </a:ext>
          </a:extLst>
        </xdr:cNvPr>
        <xdr:cNvSpPr/>
      </xdr:nvSpPr>
      <xdr:spPr>
        <a:xfrm>
          <a:off x="4483100" y="304927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Charge Coin</a:t>
          </a:r>
        </a:p>
      </xdr:txBody>
    </xdr:sp>
    <xdr:clientData/>
  </xdr:twoCellAnchor>
  <xdr:twoCellAnchor>
    <xdr:from>
      <xdr:col>7</xdr:col>
      <xdr:colOff>292100</xdr:colOff>
      <xdr:row>88</xdr:row>
      <xdr:rowOff>127000</xdr:rowOff>
    </xdr:from>
    <xdr:to>
      <xdr:col>9</xdr:col>
      <xdr:colOff>88900</xdr:colOff>
      <xdr:row>92</xdr:row>
      <xdr:rowOff>76200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5F5C978-7BD9-434D-89AF-B660D4D94060}"/>
            </a:ext>
          </a:extLst>
        </xdr:cNvPr>
        <xdr:cNvSpPr/>
      </xdr:nvSpPr>
      <xdr:spPr>
        <a:xfrm>
          <a:off x="6070600" y="186309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Customer</a:t>
          </a:r>
        </a:p>
        <a:p>
          <a:pPr algn="ctr"/>
          <a:r>
            <a:rPr lang="en-US" sz="2000" b="1"/>
            <a:t>Info Detail</a:t>
          </a:r>
        </a:p>
      </xdr:txBody>
    </xdr:sp>
    <xdr:clientData/>
  </xdr:twoCellAnchor>
  <xdr:twoCellAnchor>
    <xdr:from>
      <xdr:col>6</xdr:col>
      <xdr:colOff>749300</xdr:colOff>
      <xdr:row>142</xdr:row>
      <xdr:rowOff>127000</xdr:rowOff>
    </xdr:from>
    <xdr:to>
      <xdr:col>8</xdr:col>
      <xdr:colOff>546100</xdr:colOff>
      <xdr:row>146</xdr:row>
      <xdr:rowOff>76200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1730EB98-5EFB-D14D-A443-767233AF3005}"/>
            </a:ext>
          </a:extLst>
        </xdr:cNvPr>
        <xdr:cNvSpPr/>
      </xdr:nvSpPr>
      <xdr:spPr>
        <a:xfrm>
          <a:off x="5702300" y="31038800"/>
          <a:ext cx="144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Customer</a:t>
          </a:r>
        </a:p>
        <a:p>
          <a:pPr algn="ctr"/>
          <a:r>
            <a:rPr lang="en-US" sz="2000" b="1"/>
            <a:t>Info Detail</a:t>
          </a:r>
        </a:p>
      </xdr:txBody>
    </xdr:sp>
    <xdr:clientData/>
  </xdr:twoCellAnchor>
  <xdr:twoCellAnchor>
    <xdr:from>
      <xdr:col>3</xdr:col>
      <xdr:colOff>0</xdr:colOff>
      <xdr:row>149</xdr:row>
      <xdr:rowOff>0</xdr:rowOff>
    </xdr:from>
    <xdr:to>
      <xdr:col>6</xdr:col>
      <xdr:colOff>330200</xdr:colOff>
      <xdr:row>152</xdr:row>
      <xdr:rowOff>152400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578FA0E-B605-B946-8A09-BCF4D53C064A}"/>
            </a:ext>
          </a:extLst>
        </xdr:cNvPr>
        <xdr:cNvSpPr/>
      </xdr:nvSpPr>
      <xdr:spPr>
        <a:xfrm>
          <a:off x="2476500" y="32334200"/>
          <a:ext cx="2806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Coin</a:t>
          </a:r>
          <a:r>
            <a:rPr lang="en-US" sz="2000" b="1" baseline="0"/>
            <a:t> Rate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5</xdr:col>
      <xdr:colOff>558800</xdr:colOff>
      <xdr:row>157</xdr:row>
      <xdr:rowOff>152400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B266E49A-C8A8-5345-9A06-46AE377C6B18}"/>
            </a:ext>
          </a:extLst>
        </xdr:cNvPr>
        <xdr:cNvSpPr/>
      </xdr:nvSpPr>
      <xdr:spPr>
        <a:xfrm>
          <a:off x="2476500" y="34975800"/>
          <a:ext cx="2209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Change</a:t>
          </a:r>
          <a:r>
            <a:rPr lang="en-US" sz="2000" b="1" baseline="0"/>
            <a:t> Coin Rate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160</xdr:row>
      <xdr:rowOff>0</xdr:rowOff>
    </xdr:from>
    <xdr:to>
      <xdr:col>6</xdr:col>
      <xdr:colOff>241300</xdr:colOff>
      <xdr:row>163</xdr:row>
      <xdr:rowOff>152400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C4AE045-AADA-CA43-AB26-16BAFD6BFAF5}"/>
            </a:ext>
          </a:extLst>
        </xdr:cNvPr>
        <xdr:cNvSpPr/>
      </xdr:nvSpPr>
      <xdr:spPr>
        <a:xfrm>
          <a:off x="2476500" y="34569400"/>
          <a:ext cx="27178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Coin</a:t>
          </a:r>
          <a:r>
            <a:rPr lang="en-US" sz="2000" b="1" baseline="0"/>
            <a:t> Exchange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622300</xdr:colOff>
      <xdr:row>168</xdr:row>
      <xdr:rowOff>152400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C3CCBCB-3EC0-094F-9A7F-E01982F93178}"/>
            </a:ext>
          </a:extLst>
        </xdr:cNvPr>
        <xdr:cNvSpPr/>
      </xdr:nvSpPr>
      <xdr:spPr>
        <a:xfrm>
          <a:off x="2476500" y="355854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Calculator</a:t>
          </a:r>
          <a:endParaRPr lang="en-US" sz="2000" b="1"/>
        </a:p>
      </xdr:txBody>
    </xdr:sp>
    <xdr:clientData/>
  </xdr:twoCellAnchor>
  <xdr:twoCellAnchor>
    <xdr:from>
      <xdr:col>0</xdr:col>
      <xdr:colOff>0</xdr:colOff>
      <xdr:row>170</xdr:row>
      <xdr:rowOff>0</xdr:rowOff>
    </xdr:from>
    <xdr:to>
      <xdr:col>2</xdr:col>
      <xdr:colOff>139700</xdr:colOff>
      <xdr:row>173</xdr:row>
      <xdr:rowOff>139700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70C0B107-62E6-594A-AE46-0B87FF950166}"/>
            </a:ext>
          </a:extLst>
        </xdr:cNvPr>
        <xdr:cNvSpPr/>
      </xdr:nvSpPr>
      <xdr:spPr>
        <a:xfrm>
          <a:off x="0" y="36779200"/>
          <a:ext cx="1790700" cy="7493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Customer</a:t>
          </a:r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6</xdr:col>
      <xdr:colOff>215900</xdr:colOff>
      <xdr:row>179</xdr:row>
      <xdr:rowOff>152400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94560B2-CA0F-FD4A-8B39-63ADBA70119A}"/>
            </a:ext>
          </a:extLst>
        </xdr:cNvPr>
        <xdr:cNvSpPr/>
      </xdr:nvSpPr>
      <xdr:spPr>
        <a:xfrm>
          <a:off x="2476500" y="37998400"/>
          <a:ext cx="26924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Listing</a:t>
          </a:r>
        </a:p>
      </xdr:txBody>
    </xdr:sp>
    <xdr:clientData/>
  </xdr:twoCellAnchor>
  <xdr:twoCellAnchor>
    <xdr:from>
      <xdr:col>3</xdr:col>
      <xdr:colOff>0</xdr:colOff>
      <xdr:row>181</xdr:row>
      <xdr:rowOff>0</xdr:rowOff>
    </xdr:from>
    <xdr:to>
      <xdr:col>5</xdr:col>
      <xdr:colOff>355600</xdr:colOff>
      <xdr:row>184</xdr:row>
      <xdr:rowOff>152400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D75C1B3-4683-F64E-BEE2-C7F0EDD481ED}"/>
            </a:ext>
          </a:extLst>
        </xdr:cNvPr>
        <xdr:cNvSpPr/>
      </xdr:nvSpPr>
      <xdr:spPr>
        <a:xfrm>
          <a:off x="2476500" y="40474900"/>
          <a:ext cx="20066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Customer Listing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6</xdr:col>
      <xdr:colOff>152400</xdr:colOff>
      <xdr:row>190</xdr:row>
      <xdr:rowOff>152400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1A5F1A0-A5B4-1F48-86E7-7A58022E6C05}"/>
            </a:ext>
          </a:extLst>
        </xdr:cNvPr>
        <xdr:cNvSpPr/>
      </xdr:nvSpPr>
      <xdr:spPr>
        <a:xfrm>
          <a:off x="2476500" y="40233600"/>
          <a:ext cx="26289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Search Customer</a:t>
          </a:r>
        </a:p>
      </xdr:txBody>
    </xdr:sp>
    <xdr:clientData/>
  </xdr:twoCellAnchor>
  <xdr:twoCellAnchor>
    <xdr:from>
      <xdr:col>2</xdr:col>
      <xdr:colOff>812800</xdr:colOff>
      <xdr:row>199</xdr:row>
      <xdr:rowOff>88900</xdr:rowOff>
    </xdr:from>
    <xdr:to>
      <xdr:col>6</xdr:col>
      <xdr:colOff>228600</xdr:colOff>
      <xdr:row>203</xdr:row>
      <xdr:rowOff>165100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DF95558-0AC3-C544-B8DB-F6823C0C99A9}"/>
            </a:ext>
          </a:extLst>
        </xdr:cNvPr>
        <xdr:cNvSpPr/>
      </xdr:nvSpPr>
      <xdr:spPr>
        <a:xfrm>
          <a:off x="2463800" y="44221400"/>
          <a:ext cx="2717800" cy="889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Customer</a:t>
          </a:r>
        </a:p>
        <a:p>
          <a:pPr algn="ctr"/>
          <a:r>
            <a:rPr lang="en-US" sz="2000" b="1"/>
            <a:t>Info Detail</a:t>
          </a:r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6</xdr:col>
      <xdr:colOff>508000</xdr:colOff>
      <xdr:row>196</xdr:row>
      <xdr:rowOff>152400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FA72FDF9-0413-6C4A-9863-56E6CD787186}"/>
            </a:ext>
          </a:extLst>
        </xdr:cNvPr>
        <xdr:cNvSpPr/>
      </xdr:nvSpPr>
      <xdr:spPr>
        <a:xfrm>
          <a:off x="2476500" y="42913300"/>
          <a:ext cx="29845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Search By ID/Nickname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558800</xdr:colOff>
      <xdr:row>208</xdr:row>
      <xdr:rowOff>50800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77CBB53-836D-004E-AA6B-01DFB73FED65}"/>
            </a:ext>
          </a:extLst>
        </xdr:cNvPr>
        <xdr:cNvSpPr/>
      </xdr:nvSpPr>
      <xdr:spPr>
        <a:xfrm>
          <a:off x="2476500" y="438912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Profile</a:t>
          </a:r>
        </a:p>
      </xdr:txBody>
    </xdr:sp>
    <xdr:clientData/>
  </xdr:twoCellAnchor>
  <xdr:twoCellAnchor>
    <xdr:from>
      <xdr:col>5</xdr:col>
      <xdr:colOff>25400</xdr:colOff>
      <xdr:row>205</xdr:row>
      <xdr:rowOff>0</xdr:rowOff>
    </xdr:from>
    <xdr:to>
      <xdr:col>7</xdr:col>
      <xdr:colOff>368300</xdr:colOff>
      <xdr:row>208</xdr:row>
      <xdr:rowOff>50800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B1E60A42-FA53-CD45-8F91-87E563A28AB7}"/>
            </a:ext>
          </a:extLst>
        </xdr:cNvPr>
        <xdr:cNvSpPr/>
      </xdr:nvSpPr>
      <xdr:spPr>
        <a:xfrm>
          <a:off x="4152900" y="45351700"/>
          <a:ext cx="19939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Order History</a:t>
          </a:r>
        </a:p>
      </xdr:txBody>
    </xdr:sp>
    <xdr:clientData/>
  </xdr:twoCellAnchor>
  <xdr:twoCellAnchor>
    <xdr:from>
      <xdr:col>7</xdr:col>
      <xdr:colOff>711200</xdr:colOff>
      <xdr:row>205</xdr:row>
      <xdr:rowOff>12700</xdr:rowOff>
    </xdr:from>
    <xdr:to>
      <xdr:col>10</xdr:col>
      <xdr:colOff>342900</xdr:colOff>
      <xdr:row>208</xdr:row>
      <xdr:rowOff>63500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184CDBB6-1A39-6943-93C2-6116AD6EC22E}"/>
            </a:ext>
          </a:extLst>
        </xdr:cNvPr>
        <xdr:cNvSpPr/>
      </xdr:nvSpPr>
      <xdr:spPr>
        <a:xfrm>
          <a:off x="6489700" y="45364400"/>
          <a:ext cx="21082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Charge</a:t>
          </a:r>
          <a:r>
            <a:rPr lang="en-US" sz="2000" b="1" baseline="0"/>
            <a:t> </a:t>
          </a:r>
          <a:r>
            <a:rPr lang="en-US" sz="2000" b="1"/>
            <a:t>History</a:t>
          </a:r>
        </a:p>
      </xdr:txBody>
    </xdr:sp>
    <xdr:clientData/>
  </xdr:twoCellAnchor>
  <xdr:twoCellAnchor>
    <xdr:from>
      <xdr:col>0</xdr:col>
      <xdr:colOff>0</xdr:colOff>
      <xdr:row>211</xdr:row>
      <xdr:rowOff>0</xdr:rowOff>
    </xdr:from>
    <xdr:to>
      <xdr:col>2</xdr:col>
      <xdr:colOff>88900</xdr:colOff>
      <xdr:row>214</xdr:row>
      <xdr:rowOff>152400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6DE00AB-675C-4D43-A49B-8349C779E98A}"/>
            </a:ext>
          </a:extLst>
        </xdr:cNvPr>
        <xdr:cNvSpPr/>
      </xdr:nvSpPr>
      <xdr:spPr>
        <a:xfrm>
          <a:off x="0" y="45123100"/>
          <a:ext cx="17399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Finance</a:t>
          </a:r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5</xdr:col>
      <xdr:colOff>774700</xdr:colOff>
      <xdr:row>219</xdr:row>
      <xdr:rowOff>152400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DED38F7-556D-764C-B18E-4580D634A06D}"/>
            </a:ext>
          </a:extLst>
        </xdr:cNvPr>
        <xdr:cNvSpPr/>
      </xdr:nvSpPr>
      <xdr:spPr>
        <a:xfrm>
          <a:off x="2476500" y="46139100"/>
          <a:ext cx="2425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Sale by</a:t>
          </a:r>
        </a:p>
        <a:p>
          <a:pPr algn="ctr"/>
          <a:r>
            <a:rPr lang="en-US" sz="2000" b="1" baseline="0"/>
            <a:t>D/M/Y</a:t>
          </a:r>
          <a:endParaRPr lang="en-US" sz="2000" b="1"/>
        </a:p>
      </xdr:txBody>
    </xdr:sp>
    <xdr:clientData/>
  </xdr:twoCellAnchor>
  <xdr:twoCellAnchor>
    <xdr:from>
      <xdr:col>2</xdr:col>
      <xdr:colOff>800100</xdr:colOff>
      <xdr:row>221</xdr:row>
      <xdr:rowOff>190500</xdr:rowOff>
    </xdr:from>
    <xdr:to>
      <xdr:col>4</xdr:col>
      <xdr:colOff>533400</xdr:colOff>
      <xdr:row>225</xdr:row>
      <xdr:rowOff>38100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1E47976A-A8F3-DC4E-ABD4-DEAF4938A93E}"/>
            </a:ext>
          </a:extLst>
        </xdr:cNvPr>
        <xdr:cNvSpPr/>
      </xdr:nvSpPr>
      <xdr:spPr>
        <a:xfrm>
          <a:off x="2451100" y="473456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Daily Sale</a:t>
          </a:r>
        </a:p>
      </xdr:txBody>
    </xdr:sp>
    <xdr:clientData/>
  </xdr:twoCellAnchor>
  <xdr:twoCellAnchor>
    <xdr:from>
      <xdr:col>5</xdr:col>
      <xdr:colOff>0</xdr:colOff>
      <xdr:row>222</xdr:row>
      <xdr:rowOff>0</xdr:rowOff>
    </xdr:from>
    <xdr:to>
      <xdr:col>6</xdr:col>
      <xdr:colOff>558800</xdr:colOff>
      <xdr:row>225</xdr:row>
      <xdr:rowOff>50800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5A2A8D0F-F450-B542-A435-7FF6EE0E729D}"/>
            </a:ext>
          </a:extLst>
        </xdr:cNvPr>
        <xdr:cNvSpPr/>
      </xdr:nvSpPr>
      <xdr:spPr>
        <a:xfrm>
          <a:off x="4127500" y="473583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Monthly Sale</a:t>
          </a:r>
        </a:p>
      </xdr:txBody>
    </xdr:sp>
    <xdr:clientData/>
  </xdr:twoCellAnchor>
  <xdr:twoCellAnchor>
    <xdr:from>
      <xdr:col>7</xdr:col>
      <xdr:colOff>0</xdr:colOff>
      <xdr:row>222</xdr:row>
      <xdr:rowOff>0</xdr:rowOff>
    </xdr:from>
    <xdr:to>
      <xdr:col>8</xdr:col>
      <xdr:colOff>558800</xdr:colOff>
      <xdr:row>225</xdr:row>
      <xdr:rowOff>50800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1016AAD-6C57-0B4C-AD4B-2B7B949B5FA1}"/>
            </a:ext>
          </a:extLst>
        </xdr:cNvPr>
        <xdr:cNvSpPr/>
      </xdr:nvSpPr>
      <xdr:spPr>
        <a:xfrm>
          <a:off x="5778500" y="473583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Year Sale</a:t>
          </a:r>
        </a:p>
      </xdr:txBody>
    </xdr:sp>
    <xdr:clientData/>
  </xdr:twoCellAnchor>
  <xdr:twoCellAnchor>
    <xdr:from>
      <xdr:col>9</xdr:col>
      <xdr:colOff>0</xdr:colOff>
      <xdr:row>222</xdr:row>
      <xdr:rowOff>0</xdr:rowOff>
    </xdr:from>
    <xdr:to>
      <xdr:col>10</xdr:col>
      <xdr:colOff>558800</xdr:colOff>
      <xdr:row>225</xdr:row>
      <xdr:rowOff>50800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91179D7-4114-F840-B3AD-2614F8A8C895}"/>
            </a:ext>
          </a:extLst>
        </xdr:cNvPr>
        <xdr:cNvSpPr/>
      </xdr:nvSpPr>
      <xdr:spPr>
        <a:xfrm>
          <a:off x="7429500" y="473583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Range Sale</a:t>
          </a:r>
        </a:p>
      </xdr:txBody>
    </xdr:sp>
    <xdr:clientData/>
  </xdr:twoCellAnchor>
  <xdr:twoCellAnchor>
    <xdr:from>
      <xdr:col>0</xdr:col>
      <xdr:colOff>0</xdr:colOff>
      <xdr:row>231</xdr:row>
      <xdr:rowOff>0</xdr:rowOff>
    </xdr:from>
    <xdr:to>
      <xdr:col>2</xdr:col>
      <xdr:colOff>114300</xdr:colOff>
      <xdr:row>234</xdr:row>
      <xdr:rowOff>152400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E6273E7-D47F-264E-8DD5-3E32EC251C63}"/>
            </a:ext>
          </a:extLst>
        </xdr:cNvPr>
        <xdr:cNvSpPr/>
      </xdr:nvSpPr>
      <xdr:spPr>
        <a:xfrm>
          <a:off x="0" y="50419000"/>
          <a:ext cx="17653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Product</a:t>
          </a:r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5</xdr:col>
      <xdr:colOff>635000</xdr:colOff>
      <xdr:row>239</xdr:row>
      <xdr:rowOff>152400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D1CC48D-DF87-264D-89F1-9894D2E34E9B}"/>
            </a:ext>
          </a:extLst>
        </xdr:cNvPr>
        <xdr:cNvSpPr/>
      </xdr:nvSpPr>
      <xdr:spPr>
        <a:xfrm>
          <a:off x="2476500" y="51435000"/>
          <a:ext cx="22860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CRUD Product</a:t>
          </a:r>
        </a:p>
      </xdr:txBody>
    </xdr:sp>
    <xdr:clientData/>
  </xdr:twoCellAnchor>
  <xdr:twoCellAnchor>
    <xdr:from>
      <xdr:col>3</xdr:col>
      <xdr:colOff>0</xdr:colOff>
      <xdr:row>242</xdr:row>
      <xdr:rowOff>0</xdr:rowOff>
    </xdr:from>
    <xdr:to>
      <xdr:col>4</xdr:col>
      <xdr:colOff>736600</xdr:colOff>
      <xdr:row>245</xdr:row>
      <xdr:rowOff>50800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7750D87-D22E-EA48-AE59-246CC0E89C03}"/>
            </a:ext>
          </a:extLst>
        </xdr:cNvPr>
        <xdr:cNvSpPr/>
      </xdr:nvSpPr>
      <xdr:spPr>
        <a:xfrm>
          <a:off x="2476500" y="52895500"/>
          <a:ext cx="15621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Product List</a:t>
          </a:r>
        </a:p>
      </xdr:txBody>
    </xdr:sp>
    <xdr:clientData/>
  </xdr:twoCellAnchor>
  <xdr:twoCellAnchor>
    <xdr:from>
      <xdr:col>7</xdr:col>
      <xdr:colOff>342900</xdr:colOff>
      <xdr:row>242</xdr:row>
      <xdr:rowOff>12700</xdr:rowOff>
    </xdr:from>
    <xdr:to>
      <xdr:col>9</xdr:col>
      <xdr:colOff>292100</xdr:colOff>
      <xdr:row>245</xdr:row>
      <xdr:rowOff>63500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101A14-5983-644A-805D-23F6640CEC3C}"/>
            </a:ext>
          </a:extLst>
        </xdr:cNvPr>
        <xdr:cNvSpPr/>
      </xdr:nvSpPr>
      <xdr:spPr>
        <a:xfrm>
          <a:off x="6121400" y="52908200"/>
          <a:ext cx="16002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Add Product</a:t>
          </a:r>
        </a:p>
      </xdr:txBody>
    </xdr:sp>
    <xdr:clientData/>
  </xdr:twoCellAnchor>
  <xdr:twoCellAnchor>
    <xdr:from>
      <xdr:col>9</xdr:col>
      <xdr:colOff>457200</xdr:colOff>
      <xdr:row>242</xdr:row>
      <xdr:rowOff>12700</xdr:rowOff>
    </xdr:from>
    <xdr:to>
      <xdr:col>11</xdr:col>
      <xdr:colOff>723900</xdr:colOff>
      <xdr:row>245</xdr:row>
      <xdr:rowOff>63500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DF33277-92BA-D741-96F0-8E31BE9C90BB}"/>
            </a:ext>
          </a:extLst>
        </xdr:cNvPr>
        <xdr:cNvSpPr/>
      </xdr:nvSpPr>
      <xdr:spPr>
        <a:xfrm>
          <a:off x="7886700" y="52908200"/>
          <a:ext cx="19177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Edit Product</a:t>
          </a:r>
        </a:p>
      </xdr:txBody>
    </xdr:sp>
    <xdr:clientData/>
  </xdr:twoCellAnchor>
  <xdr:twoCellAnchor>
    <xdr:from>
      <xdr:col>5</xdr:col>
      <xdr:colOff>50800</xdr:colOff>
      <xdr:row>242</xdr:row>
      <xdr:rowOff>0</xdr:rowOff>
    </xdr:from>
    <xdr:to>
      <xdr:col>7</xdr:col>
      <xdr:colOff>114300</xdr:colOff>
      <xdr:row>245</xdr:row>
      <xdr:rowOff>50800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AD0E5E1-039F-8145-9418-18210FB41FA6}"/>
            </a:ext>
          </a:extLst>
        </xdr:cNvPr>
        <xdr:cNvSpPr/>
      </xdr:nvSpPr>
      <xdr:spPr>
        <a:xfrm>
          <a:off x="4178300" y="52895500"/>
          <a:ext cx="17145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Product Detail</a:t>
          </a:r>
        </a:p>
      </xdr:txBody>
    </xdr:sp>
    <xdr:clientData/>
  </xdr:twoCellAnchor>
  <xdr:twoCellAnchor>
    <xdr:from>
      <xdr:col>16</xdr:col>
      <xdr:colOff>50800</xdr:colOff>
      <xdr:row>21</xdr:row>
      <xdr:rowOff>25400</xdr:rowOff>
    </xdr:from>
    <xdr:to>
      <xdr:col>16</xdr:col>
      <xdr:colOff>228600</xdr:colOff>
      <xdr:row>22</xdr:row>
      <xdr:rowOff>12700</xdr:rowOff>
    </xdr:to>
    <xdr:sp macro="" textlink="">
      <xdr:nvSpPr>
        <xdr:cNvPr id="116" name="7-Point Star 115">
          <a:extLst>
            <a:ext uri="{FF2B5EF4-FFF2-40B4-BE49-F238E27FC236}">
              <a16:creationId xmlns:a16="http://schemas.microsoft.com/office/drawing/2014/main" id="{E473CBF7-F88E-9D4A-8BFB-15D97C5E0D79}"/>
            </a:ext>
          </a:extLst>
        </xdr:cNvPr>
        <xdr:cNvSpPr/>
      </xdr:nvSpPr>
      <xdr:spPr>
        <a:xfrm>
          <a:off x="13792200" y="5054600"/>
          <a:ext cx="177800" cy="1905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249</xdr:row>
      <xdr:rowOff>0</xdr:rowOff>
    </xdr:from>
    <xdr:to>
      <xdr:col>2</xdr:col>
      <xdr:colOff>152400</xdr:colOff>
      <xdr:row>252</xdr:row>
      <xdr:rowOff>152400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8F91BA2-1D71-9F4C-AB6C-B30B5005661D}"/>
            </a:ext>
          </a:extLst>
        </xdr:cNvPr>
        <xdr:cNvSpPr/>
      </xdr:nvSpPr>
      <xdr:spPr>
        <a:xfrm>
          <a:off x="0" y="54089300"/>
          <a:ext cx="18034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Setting</a:t>
          </a:r>
        </a:p>
      </xdr:txBody>
    </xdr:sp>
    <xdr:clientData/>
  </xdr:twoCellAnchor>
  <xdr:twoCellAnchor>
    <xdr:from>
      <xdr:col>3</xdr:col>
      <xdr:colOff>0</xdr:colOff>
      <xdr:row>255</xdr:row>
      <xdr:rowOff>0</xdr:rowOff>
    </xdr:from>
    <xdr:to>
      <xdr:col>5</xdr:col>
      <xdr:colOff>622300</xdr:colOff>
      <xdr:row>258</xdr:row>
      <xdr:rowOff>152400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2FD71B7D-2D8D-1C45-9A0A-23ECFF6ED77C}"/>
            </a:ext>
          </a:extLst>
        </xdr:cNvPr>
        <xdr:cNvSpPr/>
      </xdr:nvSpPr>
      <xdr:spPr>
        <a:xfrm>
          <a:off x="2476500" y="55308500"/>
          <a:ext cx="22733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Login</a:t>
          </a:r>
          <a:r>
            <a:rPr lang="en-US" sz="2000" b="1" baseline="0"/>
            <a:t> Manage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260</xdr:row>
      <xdr:rowOff>0</xdr:rowOff>
    </xdr:from>
    <xdr:to>
      <xdr:col>4</xdr:col>
      <xdr:colOff>558800</xdr:colOff>
      <xdr:row>263</xdr:row>
      <xdr:rowOff>50800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47F55D5-925F-CE46-85D9-527D90EA973B}"/>
            </a:ext>
          </a:extLst>
        </xdr:cNvPr>
        <xdr:cNvSpPr/>
      </xdr:nvSpPr>
      <xdr:spPr>
        <a:xfrm>
          <a:off x="2476500" y="563245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Admin</a:t>
          </a:r>
          <a:r>
            <a:rPr lang="en-US" sz="2000" b="1" baseline="0"/>
            <a:t> List</a:t>
          </a:r>
          <a:endParaRPr lang="en-US" sz="2000" b="1"/>
        </a:p>
      </xdr:txBody>
    </xdr:sp>
    <xdr:clientData/>
  </xdr:twoCellAnchor>
  <xdr:twoCellAnchor>
    <xdr:from>
      <xdr:col>4</xdr:col>
      <xdr:colOff>800100</xdr:colOff>
      <xdr:row>260</xdr:row>
      <xdr:rowOff>0</xdr:rowOff>
    </xdr:from>
    <xdr:to>
      <xdr:col>6</xdr:col>
      <xdr:colOff>533400</xdr:colOff>
      <xdr:row>263</xdr:row>
      <xdr:rowOff>50800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488CAF54-2DF0-4347-B770-00D99806ED7A}"/>
            </a:ext>
          </a:extLst>
        </xdr:cNvPr>
        <xdr:cNvSpPr/>
      </xdr:nvSpPr>
      <xdr:spPr>
        <a:xfrm>
          <a:off x="4102100" y="563245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Admin</a:t>
          </a:r>
          <a:r>
            <a:rPr lang="en-US" sz="2000" b="1" baseline="0"/>
            <a:t> Profile</a:t>
          </a:r>
          <a:endParaRPr lang="en-US" sz="2000" b="1"/>
        </a:p>
      </xdr:txBody>
    </xdr:sp>
    <xdr:clientData/>
  </xdr:twoCellAnchor>
  <xdr:twoCellAnchor>
    <xdr:from>
      <xdr:col>7</xdr:col>
      <xdr:colOff>0</xdr:colOff>
      <xdr:row>260</xdr:row>
      <xdr:rowOff>0</xdr:rowOff>
    </xdr:from>
    <xdr:to>
      <xdr:col>8</xdr:col>
      <xdr:colOff>558800</xdr:colOff>
      <xdr:row>263</xdr:row>
      <xdr:rowOff>50800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71B018C-00F2-A34C-A880-8E06F57AD359}"/>
            </a:ext>
          </a:extLst>
        </xdr:cNvPr>
        <xdr:cNvSpPr/>
      </xdr:nvSpPr>
      <xdr:spPr>
        <a:xfrm>
          <a:off x="5778500" y="563245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Add Admin</a:t>
          </a:r>
        </a:p>
      </xdr:txBody>
    </xdr:sp>
    <xdr:clientData/>
  </xdr:twoCellAnchor>
  <xdr:twoCellAnchor>
    <xdr:from>
      <xdr:col>9</xdr:col>
      <xdr:colOff>0</xdr:colOff>
      <xdr:row>260</xdr:row>
      <xdr:rowOff>0</xdr:rowOff>
    </xdr:from>
    <xdr:to>
      <xdr:col>10</xdr:col>
      <xdr:colOff>558800</xdr:colOff>
      <xdr:row>263</xdr:row>
      <xdr:rowOff>50800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B94D692B-469A-3D4F-8A02-C78DA5B10C19}"/>
            </a:ext>
          </a:extLst>
        </xdr:cNvPr>
        <xdr:cNvSpPr/>
      </xdr:nvSpPr>
      <xdr:spPr>
        <a:xfrm>
          <a:off x="7429500" y="563245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Edit Password</a:t>
          </a:r>
          <a:endParaRPr lang="en-US" sz="2000" b="1"/>
        </a:p>
      </xdr:txBody>
    </xdr:sp>
    <xdr:clientData/>
  </xdr:twoCellAnchor>
  <xdr:twoCellAnchor>
    <xdr:from>
      <xdr:col>9</xdr:col>
      <xdr:colOff>457200</xdr:colOff>
      <xdr:row>40</xdr:row>
      <xdr:rowOff>139700</xdr:rowOff>
    </xdr:from>
    <xdr:to>
      <xdr:col>9</xdr:col>
      <xdr:colOff>635000</xdr:colOff>
      <xdr:row>41</xdr:row>
      <xdr:rowOff>127000</xdr:rowOff>
    </xdr:to>
    <xdr:sp macro="" textlink="">
      <xdr:nvSpPr>
        <xdr:cNvPr id="123" name="7-Point Star 122">
          <a:extLst>
            <a:ext uri="{FF2B5EF4-FFF2-40B4-BE49-F238E27FC236}">
              <a16:creationId xmlns:a16="http://schemas.microsoft.com/office/drawing/2014/main" id="{78863279-8B0A-FC43-A44D-6B94A5E71E55}"/>
            </a:ext>
          </a:extLst>
        </xdr:cNvPr>
        <xdr:cNvSpPr/>
      </xdr:nvSpPr>
      <xdr:spPr>
        <a:xfrm>
          <a:off x="7886700" y="9029700"/>
          <a:ext cx="177800" cy="190500"/>
        </a:xfrm>
        <a:prstGeom prst="star7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6</xdr:col>
      <xdr:colOff>330200</xdr:colOff>
      <xdr:row>269</xdr:row>
      <xdr:rowOff>152400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F9D209CE-008A-F34B-8A54-79C4D76F4BBC}"/>
            </a:ext>
          </a:extLst>
        </xdr:cNvPr>
        <xdr:cNvSpPr/>
      </xdr:nvSpPr>
      <xdr:spPr>
        <a:xfrm>
          <a:off x="2476500" y="57543700"/>
          <a:ext cx="2806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Coin</a:t>
          </a:r>
          <a:r>
            <a:rPr lang="en-US" sz="2000" b="1" baseline="0"/>
            <a:t> Rate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271</xdr:row>
      <xdr:rowOff>0</xdr:rowOff>
    </xdr:from>
    <xdr:to>
      <xdr:col>5</xdr:col>
      <xdr:colOff>457200</xdr:colOff>
      <xdr:row>274</xdr:row>
      <xdr:rowOff>152400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BCBA20B9-C545-6444-8D3B-8980E69656B3}"/>
            </a:ext>
          </a:extLst>
        </xdr:cNvPr>
        <xdr:cNvSpPr/>
      </xdr:nvSpPr>
      <xdr:spPr>
        <a:xfrm>
          <a:off x="2476500" y="58801000"/>
          <a:ext cx="21082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Change</a:t>
          </a:r>
          <a:r>
            <a:rPr lang="en-US" sz="2000" b="1" baseline="0"/>
            <a:t> Coin Rate</a:t>
          </a:r>
          <a:endParaRPr lang="en-US" sz="2000" b="1"/>
        </a:p>
      </xdr:txBody>
    </xdr:sp>
    <xdr:clientData/>
  </xdr:twoCellAnchor>
  <xdr:twoCellAnchor>
    <xdr:from>
      <xdr:col>3</xdr:col>
      <xdr:colOff>0</xdr:colOff>
      <xdr:row>277</xdr:row>
      <xdr:rowOff>0</xdr:rowOff>
    </xdr:from>
    <xdr:to>
      <xdr:col>6</xdr:col>
      <xdr:colOff>330200</xdr:colOff>
      <xdr:row>280</xdr:row>
      <xdr:rowOff>152400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C680D4F-E7F9-AD46-9890-E8F69744FB8A}"/>
            </a:ext>
          </a:extLst>
        </xdr:cNvPr>
        <xdr:cNvSpPr/>
      </xdr:nvSpPr>
      <xdr:spPr>
        <a:xfrm>
          <a:off x="2476500" y="59778900"/>
          <a:ext cx="2806700" cy="762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Site Manage</a:t>
          </a:r>
        </a:p>
      </xdr:txBody>
    </xdr:sp>
    <xdr:clientData/>
  </xdr:twoCellAnchor>
  <xdr:twoCellAnchor>
    <xdr:from>
      <xdr:col>3</xdr:col>
      <xdr:colOff>0</xdr:colOff>
      <xdr:row>282</xdr:row>
      <xdr:rowOff>0</xdr:rowOff>
    </xdr:from>
    <xdr:to>
      <xdr:col>4</xdr:col>
      <xdr:colOff>558800</xdr:colOff>
      <xdr:row>285</xdr:row>
      <xdr:rowOff>50800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99BE6A8-E33F-F24E-8301-B9E3BDED092F}"/>
            </a:ext>
          </a:extLst>
        </xdr:cNvPr>
        <xdr:cNvSpPr/>
      </xdr:nvSpPr>
      <xdr:spPr>
        <a:xfrm>
          <a:off x="2476500" y="60794900"/>
          <a:ext cx="13843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News</a:t>
          </a:r>
        </a:p>
      </xdr:txBody>
    </xdr:sp>
    <xdr:clientData/>
  </xdr:twoCellAnchor>
  <xdr:twoCellAnchor>
    <xdr:from>
      <xdr:col>4</xdr:col>
      <xdr:colOff>800100</xdr:colOff>
      <xdr:row>282</xdr:row>
      <xdr:rowOff>0</xdr:rowOff>
    </xdr:from>
    <xdr:to>
      <xdr:col>6</xdr:col>
      <xdr:colOff>800100</xdr:colOff>
      <xdr:row>285</xdr:row>
      <xdr:rowOff>50800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4A22248C-DF54-7240-9910-0A15F6AE1FFE}"/>
            </a:ext>
          </a:extLst>
        </xdr:cNvPr>
        <xdr:cNvSpPr/>
      </xdr:nvSpPr>
      <xdr:spPr>
        <a:xfrm>
          <a:off x="4102100" y="61036200"/>
          <a:ext cx="16510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Site Master</a:t>
          </a:r>
        </a:p>
      </xdr:txBody>
    </xdr:sp>
    <xdr:clientData/>
  </xdr:twoCellAnchor>
  <xdr:twoCellAnchor>
    <xdr:from>
      <xdr:col>7</xdr:col>
      <xdr:colOff>292100</xdr:colOff>
      <xdr:row>282</xdr:row>
      <xdr:rowOff>0</xdr:rowOff>
    </xdr:from>
    <xdr:to>
      <xdr:col>10</xdr:col>
      <xdr:colOff>25400</xdr:colOff>
      <xdr:row>285</xdr:row>
      <xdr:rowOff>50800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FF4647EA-2D9A-5140-8B4C-73A3CDC96470}"/>
            </a:ext>
          </a:extLst>
        </xdr:cNvPr>
        <xdr:cNvSpPr/>
      </xdr:nvSpPr>
      <xdr:spPr>
        <a:xfrm>
          <a:off x="6070600" y="61036200"/>
          <a:ext cx="2209800" cy="6604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App Master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16</xdr:row>
      <xdr:rowOff>139700</xdr:rowOff>
    </xdr:from>
    <xdr:to>
      <xdr:col>1</xdr:col>
      <xdr:colOff>800100</xdr:colOff>
      <xdr:row>20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9F7FA3-A333-0A47-98A3-4E471E9F28F4}"/>
            </a:ext>
          </a:extLst>
        </xdr:cNvPr>
        <xdr:cNvSpPr/>
      </xdr:nvSpPr>
      <xdr:spPr>
        <a:xfrm>
          <a:off x="177800" y="40386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Home</a:t>
          </a:r>
        </a:p>
      </xdr:txBody>
    </xdr:sp>
    <xdr:clientData/>
  </xdr:twoCellAnchor>
  <xdr:twoCellAnchor>
    <xdr:from>
      <xdr:col>2</xdr:col>
      <xdr:colOff>406400</xdr:colOff>
      <xdr:row>16</xdr:row>
      <xdr:rowOff>152400</xdr:rowOff>
    </xdr:from>
    <xdr:to>
      <xdr:col>4</xdr:col>
      <xdr:colOff>203200</xdr:colOff>
      <xdr:row>20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C72965-DBB1-0B40-8936-066C57E2F83A}"/>
            </a:ext>
          </a:extLst>
        </xdr:cNvPr>
        <xdr:cNvSpPr/>
      </xdr:nvSpPr>
      <xdr:spPr>
        <a:xfrm>
          <a:off x="2057400" y="40513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Product</a:t>
          </a:r>
        </a:p>
      </xdr:txBody>
    </xdr:sp>
    <xdr:clientData/>
  </xdr:twoCellAnchor>
  <xdr:twoCellAnchor>
    <xdr:from>
      <xdr:col>4</xdr:col>
      <xdr:colOff>673100</xdr:colOff>
      <xdr:row>16</xdr:row>
      <xdr:rowOff>152400</xdr:rowOff>
    </xdr:from>
    <xdr:to>
      <xdr:col>6</xdr:col>
      <xdr:colOff>469900</xdr:colOff>
      <xdr:row>20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E76117-8C8E-B948-8946-EA0D40BC99E6}"/>
            </a:ext>
          </a:extLst>
        </xdr:cNvPr>
        <xdr:cNvSpPr/>
      </xdr:nvSpPr>
      <xdr:spPr>
        <a:xfrm>
          <a:off x="3975100" y="4051300"/>
          <a:ext cx="14478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Buy Coin</a:t>
          </a:r>
        </a:p>
      </xdr:txBody>
    </xdr:sp>
    <xdr:clientData/>
  </xdr:twoCellAnchor>
  <xdr:twoCellAnchor>
    <xdr:from>
      <xdr:col>7</xdr:col>
      <xdr:colOff>177800</xdr:colOff>
      <xdr:row>16</xdr:row>
      <xdr:rowOff>152400</xdr:rowOff>
    </xdr:from>
    <xdr:to>
      <xdr:col>9</xdr:col>
      <xdr:colOff>241300</xdr:colOff>
      <xdr:row>20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720D195-0ED4-5B4F-8D7C-8EB33795E0FA}"/>
            </a:ext>
          </a:extLst>
        </xdr:cNvPr>
        <xdr:cNvSpPr/>
      </xdr:nvSpPr>
      <xdr:spPr>
        <a:xfrm>
          <a:off x="5956300" y="4051300"/>
          <a:ext cx="17145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Access</a:t>
          </a:r>
        </a:p>
      </xdr:txBody>
    </xdr:sp>
    <xdr:clientData/>
  </xdr:twoCellAnchor>
  <xdr:twoCellAnchor>
    <xdr:from>
      <xdr:col>9</xdr:col>
      <xdr:colOff>800100</xdr:colOff>
      <xdr:row>16</xdr:row>
      <xdr:rowOff>165100</xdr:rowOff>
    </xdr:from>
    <xdr:to>
      <xdr:col>12</xdr:col>
      <xdr:colOff>215900</xdr:colOff>
      <xdr:row>20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73FD2D-D6B5-DF48-9595-CC5B33D22BFE}"/>
            </a:ext>
          </a:extLst>
        </xdr:cNvPr>
        <xdr:cNvSpPr/>
      </xdr:nvSpPr>
      <xdr:spPr>
        <a:xfrm>
          <a:off x="8229600" y="4064000"/>
          <a:ext cx="18923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Inform</a:t>
          </a:r>
        </a:p>
      </xdr:txBody>
    </xdr:sp>
    <xdr:clientData/>
  </xdr:twoCellAnchor>
  <xdr:twoCellAnchor>
    <xdr:from>
      <xdr:col>12</xdr:col>
      <xdr:colOff>774700</xdr:colOff>
      <xdr:row>16</xdr:row>
      <xdr:rowOff>165100</xdr:rowOff>
    </xdr:from>
    <xdr:to>
      <xdr:col>15</xdr:col>
      <xdr:colOff>12700</xdr:colOff>
      <xdr:row>20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43908CD-4DE9-D844-9ED5-219667780C24}"/>
            </a:ext>
          </a:extLst>
        </xdr:cNvPr>
        <xdr:cNvSpPr/>
      </xdr:nvSpPr>
      <xdr:spPr>
        <a:xfrm>
          <a:off x="10680700" y="4064000"/>
          <a:ext cx="17145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Profile</a:t>
          </a:r>
        </a:p>
      </xdr:txBody>
    </xdr:sp>
    <xdr:clientData/>
  </xdr:twoCellAnchor>
  <xdr:twoCellAnchor>
    <xdr:from>
      <xdr:col>15</xdr:col>
      <xdr:colOff>482600</xdr:colOff>
      <xdr:row>16</xdr:row>
      <xdr:rowOff>190500</xdr:rowOff>
    </xdr:from>
    <xdr:to>
      <xdr:col>17</xdr:col>
      <xdr:colOff>616857</xdr:colOff>
      <xdr:row>20</xdr:row>
      <xdr:rowOff>139700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17A0EE-C7A9-1645-908C-C5ECE6D991B7}"/>
            </a:ext>
          </a:extLst>
        </xdr:cNvPr>
        <xdr:cNvSpPr/>
      </xdr:nvSpPr>
      <xdr:spPr>
        <a:xfrm>
          <a:off x="13001171" y="4073071"/>
          <a:ext cx="1803400" cy="74748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Site</a:t>
          </a:r>
        </a:p>
      </xdr:txBody>
    </xdr:sp>
    <xdr:clientData/>
  </xdr:twoCellAnchor>
  <xdr:twoCellAnchor>
    <xdr:from>
      <xdr:col>0</xdr:col>
      <xdr:colOff>190500</xdr:colOff>
      <xdr:row>29</xdr:row>
      <xdr:rowOff>38100</xdr:rowOff>
    </xdr:from>
    <xdr:to>
      <xdr:col>1</xdr:col>
      <xdr:colOff>812800</xdr:colOff>
      <xdr:row>33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95B5FA4-103A-444E-8A6D-DD9CC9540CF7}"/>
            </a:ext>
          </a:extLst>
        </xdr:cNvPr>
        <xdr:cNvSpPr/>
      </xdr:nvSpPr>
      <xdr:spPr>
        <a:xfrm>
          <a:off x="190500" y="65786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Banner</a:t>
          </a:r>
          <a:r>
            <a:rPr lang="en-US" sz="2000" baseline="0"/>
            <a:t> Slider</a:t>
          </a:r>
          <a:endParaRPr lang="en-US" sz="2000"/>
        </a:p>
      </xdr:txBody>
    </xdr:sp>
    <xdr:clientData/>
  </xdr:twoCellAnchor>
  <xdr:twoCellAnchor>
    <xdr:from>
      <xdr:col>0</xdr:col>
      <xdr:colOff>190500</xdr:colOff>
      <xdr:row>35</xdr:row>
      <xdr:rowOff>0</xdr:rowOff>
    </xdr:from>
    <xdr:to>
      <xdr:col>1</xdr:col>
      <xdr:colOff>812800</xdr:colOff>
      <xdr:row>39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150F1BD-D84D-444E-A2C3-1441262009CD}"/>
            </a:ext>
          </a:extLst>
        </xdr:cNvPr>
        <xdr:cNvSpPr/>
      </xdr:nvSpPr>
      <xdr:spPr>
        <a:xfrm>
          <a:off x="190500" y="77597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</a:t>
          </a:r>
          <a:r>
            <a:rPr lang="en-US" sz="2000" baseline="0"/>
            <a:t> Info</a:t>
          </a:r>
          <a:endParaRPr lang="en-US" sz="2000"/>
        </a:p>
      </xdr:txBody>
    </xdr:sp>
    <xdr:clientData/>
  </xdr:twoCellAnchor>
  <xdr:twoCellAnchor>
    <xdr:from>
      <xdr:col>0</xdr:col>
      <xdr:colOff>190500</xdr:colOff>
      <xdr:row>40</xdr:row>
      <xdr:rowOff>114300</xdr:rowOff>
    </xdr:from>
    <xdr:to>
      <xdr:col>1</xdr:col>
      <xdr:colOff>812800</xdr:colOff>
      <xdr:row>44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E0D2B42-85D0-7B4C-AC19-42A2DDDFDF3E}"/>
            </a:ext>
          </a:extLst>
        </xdr:cNvPr>
        <xdr:cNvSpPr/>
      </xdr:nvSpPr>
      <xdr:spPr>
        <a:xfrm>
          <a:off x="190500" y="88900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Delivery Info</a:t>
          </a:r>
        </a:p>
      </xdr:txBody>
    </xdr:sp>
    <xdr:clientData/>
  </xdr:twoCellAnchor>
  <xdr:twoCellAnchor>
    <xdr:from>
      <xdr:col>0</xdr:col>
      <xdr:colOff>190500</xdr:colOff>
      <xdr:row>23</xdr:row>
      <xdr:rowOff>88900</xdr:rowOff>
    </xdr:from>
    <xdr:to>
      <xdr:col>1</xdr:col>
      <xdr:colOff>812800</xdr:colOff>
      <xdr:row>27</xdr:row>
      <xdr:rowOff>88900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9684EC6-B616-B147-BF7C-0453BCCCA9B9}"/>
            </a:ext>
          </a:extLst>
        </xdr:cNvPr>
        <xdr:cNvSpPr/>
      </xdr:nvSpPr>
      <xdr:spPr>
        <a:xfrm>
          <a:off x="190500" y="54102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Header</a:t>
          </a:r>
        </a:p>
      </xdr:txBody>
    </xdr:sp>
    <xdr:clientData/>
  </xdr:twoCellAnchor>
  <xdr:twoCellAnchor>
    <xdr:from>
      <xdr:col>0</xdr:col>
      <xdr:colOff>215900</xdr:colOff>
      <xdr:row>46</xdr:row>
      <xdr:rowOff>0</xdr:rowOff>
    </xdr:from>
    <xdr:to>
      <xdr:col>2</xdr:col>
      <xdr:colOff>12700</xdr:colOff>
      <xdr:row>50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A5AC8A1-CCAA-194B-AC78-EDEA4413C06C}"/>
            </a:ext>
          </a:extLst>
        </xdr:cNvPr>
        <xdr:cNvSpPr/>
      </xdr:nvSpPr>
      <xdr:spPr>
        <a:xfrm>
          <a:off x="215900" y="99949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Footer</a:t>
          </a:r>
        </a:p>
      </xdr:txBody>
    </xdr:sp>
    <xdr:clientData/>
  </xdr:twoCellAnchor>
  <xdr:twoCellAnchor>
    <xdr:from>
      <xdr:col>2</xdr:col>
      <xdr:colOff>381000</xdr:colOff>
      <xdr:row>23</xdr:row>
      <xdr:rowOff>114300</xdr:rowOff>
    </xdr:from>
    <xdr:to>
      <xdr:col>4</xdr:col>
      <xdr:colOff>177800</xdr:colOff>
      <xdr:row>27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D7D703A-A818-0146-AE16-311568B4DD42}"/>
            </a:ext>
          </a:extLst>
        </xdr:cNvPr>
        <xdr:cNvSpPr/>
      </xdr:nvSpPr>
      <xdr:spPr>
        <a:xfrm>
          <a:off x="2032000" y="54356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 List</a:t>
          </a:r>
        </a:p>
      </xdr:txBody>
    </xdr:sp>
    <xdr:clientData/>
  </xdr:twoCellAnchor>
  <xdr:twoCellAnchor>
    <xdr:from>
      <xdr:col>2</xdr:col>
      <xdr:colOff>381000</xdr:colOff>
      <xdr:row>29</xdr:row>
      <xdr:rowOff>38100</xdr:rowOff>
    </xdr:from>
    <xdr:to>
      <xdr:col>4</xdr:col>
      <xdr:colOff>177800</xdr:colOff>
      <xdr:row>33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40992F8-ABCB-5341-B5B9-7120A542CAC7}"/>
            </a:ext>
          </a:extLst>
        </xdr:cNvPr>
        <xdr:cNvSpPr/>
      </xdr:nvSpPr>
      <xdr:spPr>
        <a:xfrm>
          <a:off x="2032000" y="65786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 Detail</a:t>
          </a:r>
        </a:p>
      </xdr:txBody>
    </xdr:sp>
    <xdr:clientData/>
  </xdr:twoCellAnchor>
  <xdr:twoCellAnchor>
    <xdr:from>
      <xdr:col>4</xdr:col>
      <xdr:colOff>647700</xdr:colOff>
      <xdr:row>23</xdr:row>
      <xdr:rowOff>101600</xdr:rowOff>
    </xdr:from>
    <xdr:to>
      <xdr:col>6</xdr:col>
      <xdr:colOff>444500</xdr:colOff>
      <xdr:row>27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A88F33-7460-EB46-9916-3082CE733D00}"/>
            </a:ext>
          </a:extLst>
        </xdr:cNvPr>
        <xdr:cNvSpPr/>
      </xdr:nvSpPr>
      <xdr:spPr>
        <a:xfrm>
          <a:off x="3949700" y="54229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</a:t>
          </a:r>
          <a:r>
            <a:rPr lang="en-US" sz="2000" baseline="0"/>
            <a:t> Info</a:t>
          </a:r>
          <a:endParaRPr lang="en-US" sz="2000"/>
        </a:p>
      </xdr:txBody>
    </xdr:sp>
    <xdr:clientData/>
  </xdr:twoCellAnchor>
  <xdr:twoCellAnchor>
    <xdr:from>
      <xdr:col>4</xdr:col>
      <xdr:colOff>635000</xdr:colOff>
      <xdr:row>29</xdr:row>
      <xdr:rowOff>101600</xdr:rowOff>
    </xdr:from>
    <xdr:to>
      <xdr:col>6</xdr:col>
      <xdr:colOff>431800</xdr:colOff>
      <xdr:row>33</xdr:row>
      <xdr:rowOff>101600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554FA7D-2AC2-2345-9625-58910C49C82A}"/>
            </a:ext>
          </a:extLst>
        </xdr:cNvPr>
        <xdr:cNvSpPr/>
      </xdr:nvSpPr>
      <xdr:spPr>
        <a:xfrm>
          <a:off x="3937000" y="66421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 Buy</a:t>
          </a:r>
        </a:p>
      </xdr:txBody>
    </xdr:sp>
    <xdr:clientData/>
  </xdr:twoCellAnchor>
  <xdr:twoCellAnchor>
    <xdr:from>
      <xdr:col>7</xdr:col>
      <xdr:colOff>304800</xdr:colOff>
      <xdr:row>23</xdr:row>
      <xdr:rowOff>127000</xdr:rowOff>
    </xdr:from>
    <xdr:to>
      <xdr:col>9</xdr:col>
      <xdr:colOff>101600</xdr:colOff>
      <xdr:row>27</xdr:row>
      <xdr:rowOff>127000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5B983D-0043-9646-B81C-40B805162E9C}"/>
            </a:ext>
          </a:extLst>
        </xdr:cNvPr>
        <xdr:cNvSpPr/>
      </xdr:nvSpPr>
      <xdr:spPr>
        <a:xfrm>
          <a:off x="6083300" y="54483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Login/Sign Up</a:t>
          </a:r>
        </a:p>
      </xdr:txBody>
    </xdr:sp>
    <xdr:clientData/>
  </xdr:twoCellAnchor>
  <xdr:twoCellAnchor>
    <xdr:from>
      <xdr:col>10</xdr:col>
      <xdr:colOff>0</xdr:colOff>
      <xdr:row>23</xdr:row>
      <xdr:rowOff>139700</xdr:rowOff>
    </xdr:from>
    <xdr:to>
      <xdr:col>12</xdr:col>
      <xdr:colOff>155933</xdr:colOff>
      <xdr:row>27</xdr:row>
      <xdr:rowOff>114300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343869C-5AAB-CB4B-972B-C125EF9DB573}"/>
            </a:ext>
          </a:extLst>
        </xdr:cNvPr>
        <xdr:cNvSpPr/>
      </xdr:nvSpPr>
      <xdr:spPr>
        <a:xfrm>
          <a:off x="8255000" y="5461000"/>
          <a:ext cx="1806933" cy="7874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New</a:t>
          </a:r>
          <a:r>
            <a:rPr lang="en-US" sz="2000" baseline="0"/>
            <a:t>s</a:t>
          </a:r>
          <a:endParaRPr lang="en-US" sz="2000"/>
        </a:p>
      </xdr:txBody>
    </xdr:sp>
    <xdr:clientData/>
  </xdr:twoCellAnchor>
  <xdr:twoCellAnchor>
    <xdr:from>
      <xdr:col>12</xdr:col>
      <xdr:colOff>800100</xdr:colOff>
      <xdr:row>23</xdr:row>
      <xdr:rowOff>139700</xdr:rowOff>
    </xdr:from>
    <xdr:to>
      <xdr:col>14</xdr:col>
      <xdr:colOff>596900</xdr:colOff>
      <xdr:row>27</xdr:row>
      <xdr:rowOff>139700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BCEC68B-4F33-1D4F-934B-FC4A368D70E2}"/>
            </a:ext>
          </a:extLst>
        </xdr:cNvPr>
        <xdr:cNvSpPr/>
      </xdr:nvSpPr>
      <xdr:spPr>
        <a:xfrm>
          <a:off x="10706100" y="54610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Setting Profile</a:t>
          </a:r>
        </a:p>
      </xdr:txBody>
    </xdr:sp>
    <xdr:clientData/>
  </xdr:twoCellAnchor>
  <xdr:twoCellAnchor>
    <xdr:from>
      <xdr:col>15</xdr:col>
      <xdr:colOff>634999</xdr:colOff>
      <xdr:row>23</xdr:row>
      <xdr:rowOff>152400</xdr:rowOff>
    </xdr:from>
    <xdr:to>
      <xdr:col>17</xdr:col>
      <xdr:colOff>435429</xdr:colOff>
      <xdr:row>27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0E7933B-9318-5D4F-BE75-A8226E981BF2}"/>
            </a:ext>
          </a:extLst>
        </xdr:cNvPr>
        <xdr:cNvSpPr/>
      </xdr:nvSpPr>
      <xdr:spPr>
        <a:xfrm>
          <a:off x="13153570" y="5431971"/>
          <a:ext cx="1469573" cy="798286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Contact</a:t>
          </a:r>
        </a:p>
      </xdr:txBody>
    </xdr:sp>
    <xdr:clientData/>
  </xdr:twoCellAnchor>
  <xdr:twoCellAnchor>
    <xdr:from>
      <xdr:col>15</xdr:col>
      <xdr:colOff>622299</xdr:colOff>
      <xdr:row>29</xdr:row>
      <xdr:rowOff>127000</xdr:rowOff>
    </xdr:from>
    <xdr:to>
      <xdr:col>17</xdr:col>
      <xdr:colOff>422729</xdr:colOff>
      <xdr:row>33</xdr:row>
      <xdr:rowOff>127000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B7C6510-1561-5646-BA62-3B58E7B3B5D4}"/>
            </a:ext>
          </a:extLst>
        </xdr:cNvPr>
        <xdr:cNvSpPr/>
      </xdr:nvSpPr>
      <xdr:spPr>
        <a:xfrm>
          <a:off x="13140870" y="6604000"/>
          <a:ext cx="1469573" cy="798286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Suggest</a:t>
          </a:r>
        </a:p>
      </xdr:txBody>
    </xdr:sp>
    <xdr:clientData/>
  </xdr:twoCellAnchor>
  <xdr:twoCellAnchor>
    <xdr:from>
      <xdr:col>15</xdr:col>
      <xdr:colOff>660399</xdr:colOff>
      <xdr:row>40</xdr:row>
      <xdr:rowOff>139700</xdr:rowOff>
    </xdr:from>
    <xdr:to>
      <xdr:col>17</xdr:col>
      <xdr:colOff>460829</xdr:colOff>
      <xdr:row>44</xdr:row>
      <xdr:rowOff>139700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9BAE41A-5AB1-754F-A637-6DF0A529D324}"/>
            </a:ext>
          </a:extLst>
        </xdr:cNvPr>
        <xdr:cNvSpPr/>
      </xdr:nvSpPr>
      <xdr:spPr>
        <a:xfrm>
          <a:off x="13178970" y="8811986"/>
          <a:ext cx="1469573" cy="79828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Site Map</a:t>
          </a:r>
        </a:p>
      </xdr:txBody>
    </xdr:sp>
    <xdr:clientData/>
  </xdr:twoCellAnchor>
  <xdr:twoCellAnchor>
    <xdr:from>
      <xdr:col>0</xdr:col>
      <xdr:colOff>0</xdr:colOff>
      <xdr:row>52</xdr:row>
      <xdr:rowOff>0</xdr:rowOff>
    </xdr:from>
    <xdr:to>
      <xdr:col>2</xdr:col>
      <xdr:colOff>152400</xdr:colOff>
      <xdr:row>54</xdr:row>
      <xdr:rowOff>127000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BA0E355-1396-0F48-BF1A-65F20318022E}"/>
            </a:ext>
          </a:extLst>
        </xdr:cNvPr>
        <xdr:cNvSpPr/>
      </xdr:nvSpPr>
      <xdr:spPr>
        <a:xfrm>
          <a:off x="0" y="11226800"/>
          <a:ext cx="18034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Home</a:t>
          </a:r>
        </a:p>
      </xdr:txBody>
    </xdr:sp>
    <xdr:clientData/>
  </xdr:twoCellAnchor>
  <xdr:twoCellAnchor>
    <xdr:from>
      <xdr:col>3</xdr:col>
      <xdr:colOff>12700</xdr:colOff>
      <xdr:row>56</xdr:row>
      <xdr:rowOff>0</xdr:rowOff>
    </xdr:from>
    <xdr:to>
      <xdr:col>5</xdr:col>
      <xdr:colOff>698500</xdr:colOff>
      <xdr:row>58</xdr:row>
      <xdr:rowOff>88900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58027-40FA-0C45-9B6F-F780315EF0BD}"/>
            </a:ext>
          </a:extLst>
        </xdr:cNvPr>
        <xdr:cNvSpPr/>
      </xdr:nvSpPr>
      <xdr:spPr>
        <a:xfrm>
          <a:off x="2489200" y="12039600"/>
          <a:ext cx="2336800" cy="4953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Header</a:t>
          </a:r>
        </a:p>
      </xdr:txBody>
    </xdr:sp>
    <xdr:clientData/>
  </xdr:twoCellAnchor>
  <xdr:twoCellAnchor>
    <xdr:from>
      <xdr:col>3</xdr:col>
      <xdr:colOff>0</xdr:colOff>
      <xdr:row>59</xdr:row>
      <xdr:rowOff>76200</xdr:rowOff>
    </xdr:from>
    <xdr:to>
      <xdr:col>4</xdr:col>
      <xdr:colOff>622300</xdr:colOff>
      <xdr:row>63</xdr:row>
      <xdr:rowOff>25400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E5D8632-0E9F-214D-BC13-41FFB25DD2C1}"/>
            </a:ext>
          </a:extLst>
        </xdr:cNvPr>
        <xdr:cNvSpPr/>
      </xdr:nvSpPr>
      <xdr:spPr>
        <a:xfrm>
          <a:off x="2476500" y="127254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Menu</a:t>
          </a:r>
        </a:p>
      </xdr:txBody>
    </xdr:sp>
    <xdr:clientData/>
  </xdr:twoCellAnchor>
  <xdr:twoCellAnchor>
    <xdr:from>
      <xdr:col>3</xdr:col>
      <xdr:colOff>0</xdr:colOff>
      <xdr:row>66</xdr:row>
      <xdr:rowOff>165100</xdr:rowOff>
    </xdr:from>
    <xdr:to>
      <xdr:col>5</xdr:col>
      <xdr:colOff>660400</xdr:colOff>
      <xdr:row>69</xdr:row>
      <xdr:rowOff>50800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3918D77-BE00-7544-A6D4-257841B97F30}"/>
            </a:ext>
          </a:extLst>
        </xdr:cNvPr>
        <xdr:cNvSpPr/>
      </xdr:nvSpPr>
      <xdr:spPr>
        <a:xfrm>
          <a:off x="2476500" y="14236700"/>
          <a:ext cx="2311400" cy="4953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Banner</a:t>
          </a:r>
          <a:r>
            <a:rPr lang="en-US" sz="2000" baseline="0"/>
            <a:t> Slider</a:t>
          </a:r>
          <a:endParaRPr lang="en-US" sz="2000"/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4</xdr:col>
      <xdr:colOff>622300</xdr:colOff>
      <xdr:row>73</xdr:row>
      <xdr:rowOff>152400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85A026E-8C7C-CB4A-B131-4BF21D672945}"/>
            </a:ext>
          </a:extLst>
        </xdr:cNvPr>
        <xdr:cNvSpPr/>
      </xdr:nvSpPr>
      <xdr:spPr>
        <a:xfrm>
          <a:off x="2476500" y="148844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Silder</a:t>
          </a:r>
        </a:p>
      </xdr:txBody>
    </xdr:sp>
    <xdr:clientData/>
  </xdr:twoCellAnchor>
  <xdr:twoCellAnchor>
    <xdr:from>
      <xdr:col>3</xdr:col>
      <xdr:colOff>0</xdr:colOff>
      <xdr:row>77</xdr:row>
      <xdr:rowOff>50800</xdr:rowOff>
    </xdr:from>
    <xdr:to>
      <xdr:col>5</xdr:col>
      <xdr:colOff>596900</xdr:colOff>
      <xdr:row>79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A90C23-B2BF-F34F-863B-143C0F365F87}"/>
            </a:ext>
          </a:extLst>
        </xdr:cNvPr>
        <xdr:cNvSpPr/>
      </xdr:nvSpPr>
      <xdr:spPr>
        <a:xfrm>
          <a:off x="2476500" y="16357600"/>
          <a:ext cx="2247900" cy="4953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</a:t>
          </a:r>
          <a:r>
            <a:rPr lang="en-US" sz="2000" baseline="0"/>
            <a:t> Info</a:t>
          </a:r>
          <a:endParaRPr lang="en-US" sz="20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660400</xdr:colOff>
      <xdr:row>85</xdr:row>
      <xdr:rowOff>152400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1F25BDE-85A7-2E4C-B3B8-5085D6C23C30}"/>
            </a:ext>
          </a:extLst>
        </xdr:cNvPr>
        <xdr:cNvSpPr/>
      </xdr:nvSpPr>
      <xdr:spPr>
        <a:xfrm>
          <a:off x="2476500" y="17119600"/>
          <a:ext cx="1485900" cy="9652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Product Top4 List</a:t>
          </a:r>
        </a:p>
      </xdr:txBody>
    </xdr:sp>
    <xdr:clientData/>
  </xdr:twoCellAnchor>
  <xdr:twoCellAnchor>
    <xdr:from>
      <xdr:col>5</xdr:col>
      <xdr:colOff>101600</xdr:colOff>
      <xdr:row>81</xdr:row>
      <xdr:rowOff>0</xdr:rowOff>
    </xdr:from>
    <xdr:to>
      <xdr:col>7</xdr:col>
      <xdr:colOff>393700</xdr:colOff>
      <xdr:row>85</xdr:row>
      <xdr:rowOff>127000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1D02DBD-1658-614F-9165-CAAB33EC251F}"/>
            </a:ext>
          </a:extLst>
        </xdr:cNvPr>
        <xdr:cNvSpPr/>
      </xdr:nvSpPr>
      <xdr:spPr>
        <a:xfrm>
          <a:off x="4229100" y="17119600"/>
          <a:ext cx="1943100" cy="9398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Recommand Product Detail</a:t>
          </a:r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5</xdr:col>
      <xdr:colOff>584200</xdr:colOff>
      <xdr:row>90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B886B40-D7B0-B044-83CC-96E583F0A8F7}"/>
            </a:ext>
          </a:extLst>
        </xdr:cNvPr>
        <xdr:cNvSpPr/>
      </xdr:nvSpPr>
      <xdr:spPr>
        <a:xfrm>
          <a:off x="2476500" y="18542000"/>
          <a:ext cx="2235200" cy="5461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Delivery Info</a:t>
          </a:r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5</xdr:col>
      <xdr:colOff>304800</xdr:colOff>
      <xdr:row>95</xdr:row>
      <xdr:rowOff>127000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2BB0CD2-36B4-3444-857F-0E5D74CF39E9}"/>
            </a:ext>
          </a:extLst>
        </xdr:cNvPr>
        <xdr:cNvSpPr/>
      </xdr:nvSpPr>
      <xdr:spPr>
        <a:xfrm>
          <a:off x="2476500" y="19354800"/>
          <a:ext cx="1955800" cy="7366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Township List</a:t>
          </a:r>
        </a:p>
      </xdr:txBody>
    </xdr:sp>
    <xdr:clientData/>
  </xdr:twoCellAnchor>
  <xdr:twoCellAnchor>
    <xdr:from>
      <xdr:col>3</xdr:col>
      <xdr:colOff>0</xdr:colOff>
      <xdr:row>96</xdr:row>
      <xdr:rowOff>115456</xdr:rowOff>
    </xdr:from>
    <xdr:to>
      <xdr:col>5</xdr:col>
      <xdr:colOff>558800</xdr:colOff>
      <xdr:row>99</xdr:row>
      <xdr:rowOff>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98698EE-70F7-9A45-8286-A82098C27FAC}"/>
            </a:ext>
          </a:extLst>
        </xdr:cNvPr>
        <xdr:cNvSpPr/>
      </xdr:nvSpPr>
      <xdr:spPr>
        <a:xfrm>
          <a:off x="2493818" y="20689456"/>
          <a:ext cx="2221346" cy="508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Footer</a:t>
          </a:r>
        </a:p>
      </xdr:txBody>
    </xdr:sp>
    <xdr:clientData/>
  </xdr:twoCellAnchor>
  <xdr:twoCellAnchor>
    <xdr:from>
      <xdr:col>0</xdr:col>
      <xdr:colOff>0</xdr:colOff>
      <xdr:row>100</xdr:row>
      <xdr:rowOff>0</xdr:rowOff>
    </xdr:from>
    <xdr:to>
      <xdr:col>2</xdr:col>
      <xdr:colOff>152400</xdr:colOff>
      <xdr:row>102</xdr:row>
      <xdr:rowOff>127000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F839300-3045-604F-A21F-928DEE7FE293}"/>
            </a:ext>
          </a:extLst>
        </xdr:cNvPr>
        <xdr:cNvSpPr/>
      </xdr:nvSpPr>
      <xdr:spPr>
        <a:xfrm>
          <a:off x="0" y="20993100"/>
          <a:ext cx="18034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Product</a:t>
          </a:r>
        </a:p>
      </xdr:txBody>
    </xdr:sp>
    <xdr:clientData/>
  </xdr:twoCellAnchor>
  <xdr:twoCellAnchor>
    <xdr:from>
      <xdr:col>3</xdr:col>
      <xdr:colOff>0</xdr:colOff>
      <xdr:row>105</xdr:row>
      <xdr:rowOff>0</xdr:rowOff>
    </xdr:from>
    <xdr:to>
      <xdr:col>5</xdr:col>
      <xdr:colOff>444500</xdr:colOff>
      <xdr:row>107</xdr:row>
      <xdr:rowOff>101600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6ACF561-8BF7-0649-BD52-2F93BA727FEE}"/>
            </a:ext>
          </a:extLst>
        </xdr:cNvPr>
        <xdr:cNvSpPr/>
      </xdr:nvSpPr>
      <xdr:spPr>
        <a:xfrm>
          <a:off x="2476500" y="23634700"/>
          <a:ext cx="2095500" cy="508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 List</a:t>
          </a:r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5</xdr:col>
      <xdr:colOff>368300</xdr:colOff>
      <xdr:row>112</xdr:row>
      <xdr:rowOff>152400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544B64B-C428-D640-A042-495E92609407}"/>
            </a:ext>
          </a:extLst>
        </xdr:cNvPr>
        <xdr:cNvSpPr/>
      </xdr:nvSpPr>
      <xdr:spPr>
        <a:xfrm>
          <a:off x="2476500" y="24447500"/>
          <a:ext cx="20193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List By Category</a:t>
          </a:r>
        </a:p>
      </xdr:txBody>
    </xdr:sp>
    <xdr:clientData/>
  </xdr:twoCellAnchor>
  <xdr:twoCellAnchor>
    <xdr:from>
      <xdr:col>5</xdr:col>
      <xdr:colOff>723900</xdr:colOff>
      <xdr:row>109</xdr:row>
      <xdr:rowOff>0</xdr:rowOff>
    </xdr:from>
    <xdr:to>
      <xdr:col>7</xdr:col>
      <xdr:colOff>520700</xdr:colOff>
      <xdr:row>112</xdr:row>
      <xdr:rowOff>152400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3756F46-1820-074B-97C3-B9BC0368D5C8}"/>
            </a:ext>
          </a:extLst>
        </xdr:cNvPr>
        <xdr:cNvSpPr/>
      </xdr:nvSpPr>
      <xdr:spPr>
        <a:xfrm>
          <a:off x="4851400" y="244475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List By Type</a:t>
          </a:r>
        </a:p>
      </xdr:txBody>
    </xdr:sp>
    <xdr:clientData/>
  </xdr:twoCellAnchor>
  <xdr:twoCellAnchor>
    <xdr:from>
      <xdr:col>3</xdr:col>
      <xdr:colOff>0</xdr:colOff>
      <xdr:row>115</xdr:row>
      <xdr:rowOff>0</xdr:rowOff>
    </xdr:from>
    <xdr:to>
      <xdr:col>5</xdr:col>
      <xdr:colOff>393700</xdr:colOff>
      <xdr:row>117</xdr:row>
      <xdr:rowOff>101600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D4129F7-1BA3-6C44-A5B2-381310322BFC}"/>
            </a:ext>
          </a:extLst>
        </xdr:cNvPr>
        <xdr:cNvSpPr/>
      </xdr:nvSpPr>
      <xdr:spPr>
        <a:xfrm>
          <a:off x="2476500" y="25666700"/>
          <a:ext cx="2044700" cy="508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Product Detail</a:t>
          </a:r>
        </a:p>
      </xdr:txBody>
    </xdr:sp>
    <xdr:clientData/>
  </xdr:twoCellAnchor>
  <xdr:twoCellAnchor>
    <xdr:from>
      <xdr:col>3</xdr:col>
      <xdr:colOff>0</xdr:colOff>
      <xdr:row>119</xdr:row>
      <xdr:rowOff>0</xdr:rowOff>
    </xdr:from>
    <xdr:to>
      <xdr:col>4</xdr:col>
      <xdr:colOff>622300</xdr:colOff>
      <xdr:row>122</xdr:row>
      <xdr:rowOff>152400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1CC10E8-E4B6-D440-9C2B-C8E6C9D01FBA}"/>
            </a:ext>
          </a:extLst>
        </xdr:cNvPr>
        <xdr:cNvSpPr/>
      </xdr:nvSpPr>
      <xdr:spPr>
        <a:xfrm>
          <a:off x="2476500" y="264795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Detail</a:t>
          </a:r>
        </a:p>
      </xdr:txBody>
    </xdr:sp>
    <xdr:clientData/>
  </xdr:twoCellAnchor>
  <xdr:twoCellAnchor>
    <xdr:from>
      <xdr:col>2</xdr:col>
      <xdr:colOff>393700</xdr:colOff>
      <xdr:row>35</xdr:row>
      <xdr:rowOff>38100</xdr:rowOff>
    </xdr:from>
    <xdr:to>
      <xdr:col>4</xdr:col>
      <xdr:colOff>190500</xdr:colOff>
      <xdr:row>39</xdr:row>
      <xdr:rowOff>38100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F409C4D-F160-C745-BD81-B61BF873A4C5}"/>
            </a:ext>
          </a:extLst>
        </xdr:cNvPr>
        <xdr:cNvSpPr/>
      </xdr:nvSpPr>
      <xdr:spPr>
        <a:xfrm>
          <a:off x="2044700" y="77978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Buy Product</a:t>
          </a:r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5</xdr:col>
      <xdr:colOff>330200</xdr:colOff>
      <xdr:row>128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45166B2-3B80-3241-887D-85B4CC7F5414}"/>
            </a:ext>
          </a:extLst>
        </xdr:cNvPr>
        <xdr:cNvSpPr/>
      </xdr:nvSpPr>
      <xdr:spPr>
        <a:xfrm>
          <a:off x="2476500" y="27901900"/>
          <a:ext cx="1981200" cy="5207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Buy Product</a:t>
          </a:r>
        </a:p>
      </xdr:txBody>
    </xdr:sp>
    <xdr:clientData/>
  </xdr:twoCellAnchor>
  <xdr:twoCellAnchor>
    <xdr:from>
      <xdr:col>3</xdr:col>
      <xdr:colOff>0</xdr:colOff>
      <xdr:row>130</xdr:row>
      <xdr:rowOff>0</xdr:rowOff>
    </xdr:from>
    <xdr:to>
      <xdr:col>6</xdr:col>
      <xdr:colOff>177800</xdr:colOff>
      <xdr:row>133</xdr:row>
      <xdr:rowOff>152400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E9F9818-ED35-7841-8885-58B7B149DD9D}"/>
            </a:ext>
          </a:extLst>
        </xdr:cNvPr>
        <xdr:cNvSpPr/>
      </xdr:nvSpPr>
      <xdr:spPr>
        <a:xfrm>
          <a:off x="2476500" y="28714700"/>
          <a:ext cx="26543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CheckOut/Place Order</a:t>
          </a:r>
        </a:p>
      </xdr:txBody>
    </xdr:sp>
    <xdr:clientData/>
  </xdr:twoCellAnchor>
  <xdr:twoCellAnchor>
    <xdr:from>
      <xdr:col>10</xdr:col>
      <xdr:colOff>25400</xdr:colOff>
      <xdr:row>35</xdr:row>
      <xdr:rowOff>190500</xdr:rowOff>
    </xdr:from>
    <xdr:to>
      <xdr:col>12</xdr:col>
      <xdr:colOff>148135</xdr:colOff>
      <xdr:row>39</xdr:row>
      <xdr:rowOff>190500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8CF1178-5973-D449-87D5-5360ABCE3586}"/>
            </a:ext>
          </a:extLst>
        </xdr:cNvPr>
        <xdr:cNvSpPr/>
      </xdr:nvSpPr>
      <xdr:spPr>
        <a:xfrm>
          <a:off x="8280400" y="7950200"/>
          <a:ext cx="1773735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Order</a:t>
          </a:r>
          <a:r>
            <a:rPr lang="en-US" sz="2000" baseline="0"/>
            <a:t> Track</a:t>
          </a:r>
          <a:endParaRPr lang="en-US" sz="2000"/>
        </a:p>
      </xdr:txBody>
    </xdr:sp>
    <xdr:clientData/>
  </xdr:twoCellAnchor>
  <xdr:twoCellAnchor>
    <xdr:from>
      <xdr:col>5</xdr:col>
      <xdr:colOff>457200</xdr:colOff>
      <xdr:row>133</xdr:row>
      <xdr:rowOff>0</xdr:rowOff>
    </xdr:from>
    <xdr:to>
      <xdr:col>7</xdr:col>
      <xdr:colOff>254000</xdr:colOff>
      <xdr:row>137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36E4415-4BE1-9742-941C-44243B41733D}"/>
            </a:ext>
          </a:extLst>
        </xdr:cNvPr>
        <xdr:cNvSpPr/>
      </xdr:nvSpPr>
      <xdr:spPr>
        <a:xfrm>
          <a:off x="4584700" y="293243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Order</a:t>
          </a:r>
          <a:r>
            <a:rPr lang="en-US" sz="2000" baseline="0"/>
            <a:t> Alert</a:t>
          </a:r>
          <a:endParaRPr lang="en-US" sz="2000"/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152400</xdr:colOff>
      <xdr:row>141</xdr:row>
      <xdr:rowOff>127000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1F02EF-C027-B64E-8EDA-2F58FBC68DF4}"/>
            </a:ext>
          </a:extLst>
        </xdr:cNvPr>
        <xdr:cNvSpPr/>
      </xdr:nvSpPr>
      <xdr:spPr>
        <a:xfrm>
          <a:off x="0" y="30962600"/>
          <a:ext cx="18034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Buy Coin</a:t>
          </a:r>
        </a:p>
      </xdr:txBody>
    </xdr:sp>
    <xdr:clientData/>
  </xdr:twoCellAnchor>
  <xdr:twoCellAnchor>
    <xdr:from>
      <xdr:col>2</xdr:col>
      <xdr:colOff>787400</xdr:colOff>
      <xdr:row>143</xdr:row>
      <xdr:rowOff>76200</xdr:rowOff>
    </xdr:from>
    <xdr:to>
      <xdr:col>5</xdr:col>
      <xdr:colOff>533400</xdr:colOff>
      <xdr:row>145</xdr:row>
      <xdr:rowOff>177800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B29EBD5-FFED-1F4B-AA19-B8D8BC5FE816}"/>
            </a:ext>
          </a:extLst>
        </xdr:cNvPr>
        <xdr:cNvSpPr/>
      </xdr:nvSpPr>
      <xdr:spPr>
        <a:xfrm>
          <a:off x="2438400" y="31851600"/>
          <a:ext cx="2222500" cy="508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</a:t>
          </a:r>
          <a:r>
            <a:rPr lang="en-US" sz="2000" baseline="0"/>
            <a:t> Info</a:t>
          </a:r>
          <a:endParaRPr lang="en-US" sz="2000"/>
        </a:p>
      </xdr:txBody>
    </xdr:sp>
    <xdr:clientData/>
  </xdr:twoCellAnchor>
  <xdr:twoCellAnchor>
    <xdr:from>
      <xdr:col>3</xdr:col>
      <xdr:colOff>0</xdr:colOff>
      <xdr:row>148</xdr:row>
      <xdr:rowOff>0</xdr:rowOff>
    </xdr:from>
    <xdr:to>
      <xdr:col>4</xdr:col>
      <xdr:colOff>622300</xdr:colOff>
      <xdr:row>151</xdr:row>
      <xdr:rowOff>152400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44EBBBC1-03E9-4D41-A4B9-C8F98CC647D6}"/>
            </a:ext>
          </a:extLst>
        </xdr:cNvPr>
        <xdr:cNvSpPr/>
      </xdr:nvSpPr>
      <xdr:spPr>
        <a:xfrm>
          <a:off x="2476500" y="327914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Coin Rate</a:t>
          </a:r>
        </a:p>
      </xdr:txBody>
    </xdr:sp>
    <xdr:clientData/>
  </xdr:twoCellAnchor>
  <xdr:twoCellAnchor>
    <xdr:from>
      <xdr:col>5</xdr:col>
      <xdr:colOff>0</xdr:colOff>
      <xdr:row>148</xdr:row>
      <xdr:rowOff>0</xdr:rowOff>
    </xdr:from>
    <xdr:to>
      <xdr:col>6</xdr:col>
      <xdr:colOff>622300</xdr:colOff>
      <xdr:row>151</xdr:row>
      <xdr:rowOff>152400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955B13C-FB3F-E541-9578-FE8975FB7979}"/>
            </a:ext>
          </a:extLst>
        </xdr:cNvPr>
        <xdr:cNvSpPr/>
      </xdr:nvSpPr>
      <xdr:spPr>
        <a:xfrm>
          <a:off x="4127500" y="327914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Calculator</a:t>
          </a:r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5</xdr:col>
      <xdr:colOff>469900</xdr:colOff>
      <xdr:row>156</xdr:row>
      <xdr:rowOff>50800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72D2F8F-D814-6F45-B884-6C3DCA5B5645}"/>
            </a:ext>
          </a:extLst>
        </xdr:cNvPr>
        <xdr:cNvSpPr/>
      </xdr:nvSpPr>
      <xdr:spPr>
        <a:xfrm>
          <a:off x="2476500" y="34010600"/>
          <a:ext cx="2120900" cy="4572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Coin Buy</a:t>
          </a:r>
        </a:p>
      </xdr:txBody>
    </xdr:sp>
    <xdr:clientData/>
  </xdr:twoCellAnchor>
  <xdr:twoCellAnchor>
    <xdr:from>
      <xdr:col>2</xdr:col>
      <xdr:colOff>812800</xdr:colOff>
      <xdr:row>158</xdr:row>
      <xdr:rowOff>101600</xdr:rowOff>
    </xdr:from>
    <xdr:to>
      <xdr:col>4</xdr:col>
      <xdr:colOff>609600</xdr:colOff>
      <xdr:row>162</xdr:row>
      <xdr:rowOff>50800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AEBB4DF-877C-DC42-BA48-BC618527CC00}"/>
            </a:ext>
          </a:extLst>
        </xdr:cNvPr>
        <xdr:cNvSpPr/>
      </xdr:nvSpPr>
      <xdr:spPr>
        <a:xfrm>
          <a:off x="2463800" y="349250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Coin Charge</a:t>
          </a:r>
        </a:p>
      </xdr:txBody>
    </xdr:sp>
    <xdr:clientData/>
  </xdr:twoCellAnchor>
  <xdr:twoCellAnchor>
    <xdr:from>
      <xdr:col>10</xdr:col>
      <xdr:colOff>25400</xdr:colOff>
      <xdr:row>29</xdr:row>
      <xdr:rowOff>114300</xdr:rowOff>
    </xdr:from>
    <xdr:to>
      <xdr:col>12</xdr:col>
      <xdr:colOff>148135</xdr:colOff>
      <xdr:row>33</xdr:row>
      <xdr:rowOff>114300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4C0A916-ABCD-094F-959B-08777156D8D0}"/>
            </a:ext>
          </a:extLst>
        </xdr:cNvPr>
        <xdr:cNvSpPr/>
      </xdr:nvSpPr>
      <xdr:spPr>
        <a:xfrm>
          <a:off x="8280400" y="6654800"/>
          <a:ext cx="1773735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Message</a:t>
          </a:r>
        </a:p>
      </xdr:txBody>
    </xdr:sp>
    <xdr:clientData/>
  </xdr:twoCellAnchor>
  <xdr:twoCellAnchor>
    <xdr:from>
      <xdr:col>4</xdr:col>
      <xdr:colOff>317500</xdr:colOff>
      <xdr:row>161</xdr:row>
      <xdr:rowOff>88900</xdr:rowOff>
    </xdr:from>
    <xdr:to>
      <xdr:col>6</xdr:col>
      <xdr:colOff>114300</xdr:colOff>
      <xdr:row>165</xdr:row>
      <xdr:rowOff>88900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2664A64C-921F-0E4E-94F4-3E01059E5992}"/>
            </a:ext>
          </a:extLst>
        </xdr:cNvPr>
        <xdr:cNvSpPr/>
      </xdr:nvSpPr>
      <xdr:spPr>
        <a:xfrm>
          <a:off x="3619500" y="355219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Message</a:t>
          </a:r>
        </a:p>
      </xdr:txBody>
    </xdr:sp>
    <xdr:clientData/>
  </xdr:twoCellAnchor>
  <xdr:twoCellAnchor>
    <xdr:from>
      <xdr:col>0</xdr:col>
      <xdr:colOff>0</xdr:colOff>
      <xdr:row>168</xdr:row>
      <xdr:rowOff>0</xdr:rowOff>
    </xdr:from>
    <xdr:to>
      <xdr:col>2</xdr:col>
      <xdr:colOff>457200</xdr:colOff>
      <xdr:row>170</xdr:row>
      <xdr:rowOff>25400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89DB3EC-7C84-774C-BA0B-2E9FE89A4A76}"/>
            </a:ext>
          </a:extLst>
        </xdr:cNvPr>
        <xdr:cNvSpPr/>
      </xdr:nvSpPr>
      <xdr:spPr>
        <a:xfrm>
          <a:off x="0" y="37477700"/>
          <a:ext cx="2108200" cy="4318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Access</a:t>
          </a:r>
        </a:p>
      </xdr:txBody>
    </xdr:sp>
    <xdr:clientData/>
  </xdr:twoCellAnchor>
  <xdr:twoCellAnchor>
    <xdr:from>
      <xdr:col>3</xdr:col>
      <xdr:colOff>0</xdr:colOff>
      <xdr:row>172</xdr:row>
      <xdr:rowOff>0</xdr:rowOff>
    </xdr:from>
    <xdr:to>
      <xdr:col>5</xdr:col>
      <xdr:colOff>330200</xdr:colOff>
      <xdr:row>174</xdr:row>
      <xdr:rowOff>76200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5D5FC638-5DA8-854E-9E00-A92B64790C41}"/>
            </a:ext>
          </a:extLst>
        </xdr:cNvPr>
        <xdr:cNvSpPr/>
      </xdr:nvSpPr>
      <xdr:spPr>
        <a:xfrm>
          <a:off x="2476500" y="38493700"/>
          <a:ext cx="1981200" cy="4826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Login/Sign Up</a:t>
          </a:r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4</xdr:col>
      <xdr:colOff>622300</xdr:colOff>
      <xdr:row>180</xdr:row>
      <xdr:rowOff>152400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46DF34D-1E8E-1341-A4E7-0F715FEA0B01}"/>
            </a:ext>
          </a:extLst>
        </xdr:cNvPr>
        <xdr:cNvSpPr/>
      </xdr:nvSpPr>
      <xdr:spPr>
        <a:xfrm>
          <a:off x="2476500" y="395097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Login</a:t>
          </a:r>
        </a:p>
      </xdr:txBody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622300</xdr:colOff>
      <xdr:row>180</xdr:row>
      <xdr:rowOff>152400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7CB6F046-45E2-3048-8253-110CA69057A7}"/>
            </a:ext>
          </a:extLst>
        </xdr:cNvPr>
        <xdr:cNvSpPr/>
      </xdr:nvSpPr>
      <xdr:spPr>
        <a:xfrm>
          <a:off x="4127500" y="395097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Sign Up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469900</xdr:colOff>
      <xdr:row>186</xdr:row>
      <xdr:rowOff>127000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3823E7F8-990B-8E47-A483-45827F543A75}"/>
            </a:ext>
          </a:extLst>
        </xdr:cNvPr>
        <xdr:cNvSpPr/>
      </xdr:nvSpPr>
      <xdr:spPr>
        <a:xfrm>
          <a:off x="0" y="40944800"/>
          <a:ext cx="21209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Inform</a:t>
          </a:r>
        </a:p>
      </xdr:txBody>
    </xdr:sp>
    <xdr:clientData/>
  </xdr:twoCellAnchor>
  <xdr:twoCellAnchor>
    <xdr:from>
      <xdr:col>3</xdr:col>
      <xdr:colOff>0</xdr:colOff>
      <xdr:row>189</xdr:row>
      <xdr:rowOff>0</xdr:rowOff>
    </xdr:from>
    <xdr:to>
      <xdr:col>5</xdr:col>
      <xdr:colOff>317500</xdr:colOff>
      <xdr:row>190</xdr:row>
      <xdr:rowOff>190500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5DEB5CF-A3DF-604E-9E2F-AE86918F9A7D}"/>
            </a:ext>
          </a:extLst>
        </xdr:cNvPr>
        <xdr:cNvSpPr/>
      </xdr:nvSpPr>
      <xdr:spPr>
        <a:xfrm>
          <a:off x="2476500" y="41960800"/>
          <a:ext cx="1968500" cy="3937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New</a:t>
          </a:r>
          <a:r>
            <a:rPr lang="en-US" sz="2000" baseline="0"/>
            <a:t>s</a:t>
          </a:r>
          <a:endParaRPr lang="en-US" sz="2000"/>
        </a:p>
      </xdr:txBody>
    </xdr:sp>
    <xdr:clientData/>
  </xdr:twoCellAnchor>
  <xdr:twoCellAnchor>
    <xdr:from>
      <xdr:col>3</xdr:col>
      <xdr:colOff>127000</xdr:colOff>
      <xdr:row>209</xdr:row>
      <xdr:rowOff>50800</xdr:rowOff>
    </xdr:from>
    <xdr:to>
      <xdr:col>5</xdr:col>
      <xdr:colOff>330620</xdr:colOff>
      <xdr:row>211</xdr:row>
      <xdr:rowOff>50800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E0C9359-3701-CA45-B727-2CFB42EBDF92}"/>
            </a:ext>
          </a:extLst>
        </xdr:cNvPr>
        <xdr:cNvSpPr/>
      </xdr:nvSpPr>
      <xdr:spPr>
        <a:xfrm>
          <a:off x="2603500" y="47091600"/>
          <a:ext cx="1854620" cy="4064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Order</a:t>
          </a:r>
          <a:r>
            <a:rPr lang="en-US" sz="2000" baseline="0"/>
            <a:t> Track</a:t>
          </a:r>
          <a:endParaRPr lang="en-US" sz="2000"/>
        </a:p>
      </xdr:txBody>
    </xdr:sp>
    <xdr:clientData/>
  </xdr:twoCellAnchor>
  <xdr:twoCellAnchor>
    <xdr:from>
      <xdr:col>3</xdr:col>
      <xdr:colOff>63500</xdr:colOff>
      <xdr:row>199</xdr:row>
      <xdr:rowOff>63500</xdr:rowOff>
    </xdr:from>
    <xdr:to>
      <xdr:col>5</xdr:col>
      <xdr:colOff>267120</xdr:colOff>
      <xdr:row>201</xdr:row>
      <xdr:rowOff>63500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5627291-93A6-354D-B12E-0B7618146962}"/>
            </a:ext>
          </a:extLst>
        </xdr:cNvPr>
        <xdr:cNvSpPr/>
      </xdr:nvSpPr>
      <xdr:spPr>
        <a:xfrm>
          <a:off x="2540000" y="44462700"/>
          <a:ext cx="1854620" cy="4064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Message</a:t>
          </a:r>
        </a:p>
      </xdr:txBody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622300</xdr:colOff>
      <xdr:row>196</xdr:row>
      <xdr:rowOff>152400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B9DAE985-58C8-014D-8573-E63561B53953}"/>
            </a:ext>
          </a:extLst>
        </xdr:cNvPr>
        <xdr:cNvSpPr/>
      </xdr:nvSpPr>
      <xdr:spPr>
        <a:xfrm>
          <a:off x="2476500" y="42773600"/>
          <a:ext cx="14478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News List</a:t>
          </a:r>
        </a:p>
      </xdr:txBody>
    </xdr:sp>
    <xdr:clientData/>
  </xdr:twoCellAnchor>
  <xdr:twoCellAnchor>
    <xdr:from>
      <xdr:col>5</xdr:col>
      <xdr:colOff>165100</xdr:colOff>
      <xdr:row>193</xdr:row>
      <xdr:rowOff>0</xdr:rowOff>
    </xdr:from>
    <xdr:to>
      <xdr:col>7</xdr:col>
      <xdr:colOff>228600</xdr:colOff>
      <xdr:row>196</xdr:row>
      <xdr:rowOff>114300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77F6069-2FC9-594C-B126-4F718A6E4DFD}"/>
            </a:ext>
          </a:extLst>
        </xdr:cNvPr>
        <xdr:cNvSpPr/>
      </xdr:nvSpPr>
      <xdr:spPr>
        <a:xfrm>
          <a:off x="4292600" y="42773600"/>
          <a:ext cx="1714500" cy="7239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News Detail</a:t>
          </a:r>
        </a:p>
      </xdr:txBody>
    </xdr:sp>
    <xdr:clientData/>
  </xdr:twoCellAnchor>
  <xdr:twoCellAnchor>
    <xdr:from>
      <xdr:col>3</xdr:col>
      <xdr:colOff>50800</xdr:colOff>
      <xdr:row>202</xdr:row>
      <xdr:rowOff>190500</xdr:rowOff>
    </xdr:from>
    <xdr:to>
      <xdr:col>5</xdr:col>
      <xdr:colOff>177800</xdr:colOff>
      <xdr:row>206</xdr:row>
      <xdr:rowOff>50800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99547E3-B812-B340-B718-A12422832907}"/>
            </a:ext>
          </a:extLst>
        </xdr:cNvPr>
        <xdr:cNvSpPr/>
      </xdr:nvSpPr>
      <xdr:spPr>
        <a:xfrm>
          <a:off x="2527300" y="45199300"/>
          <a:ext cx="1778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Message List</a:t>
          </a:r>
        </a:p>
      </xdr:txBody>
    </xdr:sp>
    <xdr:clientData/>
  </xdr:twoCellAnchor>
  <xdr:twoCellAnchor>
    <xdr:from>
      <xdr:col>5</xdr:col>
      <xdr:colOff>571500</xdr:colOff>
      <xdr:row>203</xdr:row>
      <xdr:rowOff>0</xdr:rowOff>
    </xdr:from>
    <xdr:to>
      <xdr:col>8</xdr:col>
      <xdr:colOff>12700</xdr:colOff>
      <xdr:row>206</xdr:row>
      <xdr:rowOff>63500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AC1EBF6F-D893-7E47-BB1D-ED5BC78C48A7}"/>
            </a:ext>
          </a:extLst>
        </xdr:cNvPr>
        <xdr:cNvSpPr/>
      </xdr:nvSpPr>
      <xdr:spPr>
        <a:xfrm>
          <a:off x="4699000" y="45212000"/>
          <a:ext cx="19177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Message Detail</a:t>
          </a:r>
        </a:p>
      </xdr:txBody>
    </xdr:sp>
    <xdr:clientData/>
  </xdr:twoCellAnchor>
  <xdr:twoCellAnchor>
    <xdr:from>
      <xdr:col>3</xdr:col>
      <xdr:colOff>139700</xdr:colOff>
      <xdr:row>213</xdr:row>
      <xdr:rowOff>0</xdr:rowOff>
    </xdr:from>
    <xdr:to>
      <xdr:col>5</xdr:col>
      <xdr:colOff>266700</xdr:colOff>
      <xdr:row>216</xdr:row>
      <xdr:rowOff>63500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1A6F84A-6CB9-364E-8286-5C56B67EA9CE}"/>
            </a:ext>
          </a:extLst>
        </xdr:cNvPr>
        <xdr:cNvSpPr/>
      </xdr:nvSpPr>
      <xdr:spPr>
        <a:xfrm>
          <a:off x="2616200" y="47040800"/>
          <a:ext cx="1778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Order List</a:t>
          </a:r>
        </a:p>
      </xdr:txBody>
    </xdr:sp>
    <xdr:clientData/>
  </xdr:twoCellAnchor>
  <xdr:twoCellAnchor>
    <xdr:from>
      <xdr:col>5</xdr:col>
      <xdr:colOff>660400</xdr:colOff>
      <xdr:row>213</xdr:row>
      <xdr:rowOff>12700</xdr:rowOff>
    </xdr:from>
    <xdr:to>
      <xdr:col>8</xdr:col>
      <xdr:colOff>101600</xdr:colOff>
      <xdr:row>216</xdr:row>
      <xdr:rowOff>76200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8C92DE-D9EE-F74B-BF85-F73C03E6CBDA}"/>
            </a:ext>
          </a:extLst>
        </xdr:cNvPr>
        <xdr:cNvSpPr/>
      </xdr:nvSpPr>
      <xdr:spPr>
        <a:xfrm>
          <a:off x="4787900" y="47053500"/>
          <a:ext cx="19177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Order Detail</a:t>
          </a:r>
        </a:p>
      </xdr:txBody>
    </xdr:sp>
    <xdr:clientData/>
  </xdr:twoCellAnchor>
  <xdr:twoCellAnchor>
    <xdr:from>
      <xdr:col>8</xdr:col>
      <xdr:colOff>622300</xdr:colOff>
      <xdr:row>213</xdr:row>
      <xdr:rowOff>0</xdr:rowOff>
    </xdr:from>
    <xdr:to>
      <xdr:col>11</xdr:col>
      <xdr:colOff>76200</xdr:colOff>
      <xdr:row>216</xdr:row>
      <xdr:rowOff>63500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B28B8F5-2D03-F54F-9C08-C4F56CCF1422}"/>
            </a:ext>
          </a:extLst>
        </xdr:cNvPr>
        <xdr:cNvSpPr/>
      </xdr:nvSpPr>
      <xdr:spPr>
        <a:xfrm>
          <a:off x="7226300" y="47040800"/>
          <a:ext cx="19304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Tracking Status</a:t>
          </a:r>
        </a:p>
      </xdr:txBody>
    </xdr:sp>
    <xdr:clientData/>
  </xdr:twoCellAnchor>
  <xdr:twoCellAnchor>
    <xdr:from>
      <xdr:col>0</xdr:col>
      <xdr:colOff>0</xdr:colOff>
      <xdr:row>219</xdr:row>
      <xdr:rowOff>0</xdr:rowOff>
    </xdr:from>
    <xdr:to>
      <xdr:col>2</xdr:col>
      <xdr:colOff>596900</xdr:colOff>
      <xdr:row>221</xdr:row>
      <xdr:rowOff>76200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2FBC879-ED19-6B4B-ACF0-5812D157286C}"/>
            </a:ext>
          </a:extLst>
        </xdr:cNvPr>
        <xdr:cNvSpPr/>
      </xdr:nvSpPr>
      <xdr:spPr>
        <a:xfrm>
          <a:off x="0" y="48475900"/>
          <a:ext cx="2247900" cy="4826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Profile</a:t>
          </a:r>
        </a:p>
      </xdr:txBody>
    </xdr:sp>
    <xdr:clientData/>
  </xdr:twoCellAnchor>
  <xdr:twoCellAnchor>
    <xdr:from>
      <xdr:col>3</xdr:col>
      <xdr:colOff>0</xdr:colOff>
      <xdr:row>223</xdr:row>
      <xdr:rowOff>0</xdr:rowOff>
    </xdr:from>
    <xdr:to>
      <xdr:col>5</xdr:col>
      <xdr:colOff>482600</xdr:colOff>
      <xdr:row>226</xdr:row>
      <xdr:rowOff>12700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5632DF6-D827-6A4A-8B3D-E72E88453A35}"/>
            </a:ext>
          </a:extLst>
        </xdr:cNvPr>
        <xdr:cNvSpPr/>
      </xdr:nvSpPr>
      <xdr:spPr>
        <a:xfrm>
          <a:off x="2476500" y="49288700"/>
          <a:ext cx="2133600" cy="6223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Setting Profile</a:t>
          </a:r>
        </a:p>
      </xdr:txBody>
    </xdr:sp>
    <xdr:clientData/>
  </xdr:twoCellAnchor>
  <xdr:twoCellAnchor>
    <xdr:from>
      <xdr:col>3</xdr:col>
      <xdr:colOff>0</xdr:colOff>
      <xdr:row>228</xdr:row>
      <xdr:rowOff>0</xdr:rowOff>
    </xdr:from>
    <xdr:to>
      <xdr:col>5</xdr:col>
      <xdr:colOff>381000</xdr:colOff>
      <xdr:row>231</xdr:row>
      <xdr:rowOff>63500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13473C6D-43A0-1849-8B2B-8927AD939DF4}"/>
            </a:ext>
          </a:extLst>
        </xdr:cNvPr>
        <xdr:cNvSpPr/>
      </xdr:nvSpPr>
      <xdr:spPr>
        <a:xfrm>
          <a:off x="2476500" y="503047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Manage Profile</a:t>
          </a:r>
        </a:p>
      </xdr:txBody>
    </xdr:sp>
    <xdr:clientData/>
  </xdr:twoCellAnchor>
  <xdr:twoCellAnchor>
    <xdr:from>
      <xdr:col>6</xdr:col>
      <xdr:colOff>0</xdr:colOff>
      <xdr:row>228</xdr:row>
      <xdr:rowOff>0</xdr:rowOff>
    </xdr:from>
    <xdr:to>
      <xdr:col>8</xdr:col>
      <xdr:colOff>469900</xdr:colOff>
      <xdr:row>231</xdr:row>
      <xdr:rowOff>63500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AD6C0AE-D4BE-1F45-AEF1-A34EEEA7DD56}"/>
            </a:ext>
          </a:extLst>
        </xdr:cNvPr>
        <xdr:cNvSpPr/>
      </xdr:nvSpPr>
      <xdr:spPr>
        <a:xfrm>
          <a:off x="4953000" y="50304700"/>
          <a:ext cx="21209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Update Password</a:t>
          </a:r>
        </a:p>
      </xdr:txBody>
    </xdr:sp>
    <xdr:clientData/>
  </xdr:twoCellAnchor>
  <xdr:twoCellAnchor>
    <xdr:from>
      <xdr:col>18</xdr:col>
      <xdr:colOff>56245</xdr:colOff>
      <xdr:row>16</xdr:row>
      <xdr:rowOff>190500</xdr:rowOff>
    </xdr:from>
    <xdr:to>
      <xdr:col>19</xdr:col>
      <xdr:colOff>446316</xdr:colOff>
      <xdr:row>20</xdr:row>
      <xdr:rowOff>190500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01EB962-0271-FB44-8AA0-ADB29B508D93}"/>
            </a:ext>
          </a:extLst>
        </xdr:cNvPr>
        <xdr:cNvSpPr/>
      </xdr:nvSpPr>
      <xdr:spPr>
        <a:xfrm>
          <a:off x="15368816" y="4073071"/>
          <a:ext cx="1442357" cy="79828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Privacy Policy</a:t>
          </a:r>
        </a:p>
      </xdr:txBody>
    </xdr:sp>
    <xdr:clientData/>
  </xdr:twoCellAnchor>
  <xdr:twoCellAnchor>
    <xdr:from>
      <xdr:col>18</xdr:col>
      <xdr:colOff>43545</xdr:colOff>
      <xdr:row>23</xdr:row>
      <xdr:rowOff>165100</xdr:rowOff>
    </xdr:from>
    <xdr:to>
      <xdr:col>19</xdr:col>
      <xdr:colOff>433616</xdr:colOff>
      <xdr:row>27</xdr:row>
      <xdr:rowOff>165100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592D199-C36F-7649-9BFC-D225CAF32D43}"/>
            </a:ext>
          </a:extLst>
        </xdr:cNvPr>
        <xdr:cNvSpPr/>
      </xdr:nvSpPr>
      <xdr:spPr>
        <a:xfrm>
          <a:off x="15356116" y="5444671"/>
          <a:ext cx="1442357" cy="798286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Privacy Policy</a:t>
          </a:r>
        </a:p>
      </xdr:txBody>
    </xdr:sp>
    <xdr:clientData/>
  </xdr:twoCellAnchor>
  <xdr:twoCellAnchor>
    <xdr:from>
      <xdr:col>8</xdr:col>
      <xdr:colOff>38100</xdr:colOff>
      <xdr:row>109</xdr:row>
      <xdr:rowOff>0</xdr:rowOff>
    </xdr:from>
    <xdr:to>
      <xdr:col>11</xdr:col>
      <xdr:colOff>12700</xdr:colOff>
      <xdr:row>112</xdr:row>
      <xdr:rowOff>152400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7BBD105-A7FE-D341-B317-EC34CADB027E}"/>
            </a:ext>
          </a:extLst>
        </xdr:cNvPr>
        <xdr:cNvSpPr/>
      </xdr:nvSpPr>
      <xdr:spPr>
        <a:xfrm>
          <a:off x="6642100" y="24447500"/>
          <a:ext cx="24511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Recommand For You</a:t>
          </a:r>
        </a:p>
      </xdr:txBody>
    </xdr:sp>
    <xdr:clientData/>
  </xdr:twoCellAnchor>
  <xdr:twoCellAnchor>
    <xdr:from>
      <xdr:col>0</xdr:col>
      <xdr:colOff>12700</xdr:colOff>
      <xdr:row>247</xdr:row>
      <xdr:rowOff>0</xdr:rowOff>
    </xdr:from>
    <xdr:to>
      <xdr:col>2</xdr:col>
      <xdr:colOff>444500</xdr:colOff>
      <xdr:row>249</xdr:row>
      <xdr:rowOff>88900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64AB8FB-1177-4846-8E5C-AF69930F94F5}"/>
            </a:ext>
          </a:extLst>
        </xdr:cNvPr>
        <xdr:cNvSpPr/>
      </xdr:nvSpPr>
      <xdr:spPr>
        <a:xfrm>
          <a:off x="12700" y="51320700"/>
          <a:ext cx="2082800" cy="508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Site</a:t>
          </a:r>
        </a:p>
      </xdr:txBody>
    </xdr:sp>
    <xdr:clientData/>
  </xdr:twoCellAnchor>
  <xdr:twoCellAnchor>
    <xdr:from>
      <xdr:col>3</xdr:col>
      <xdr:colOff>50800</xdr:colOff>
      <xdr:row>251</xdr:row>
      <xdr:rowOff>0</xdr:rowOff>
    </xdr:from>
    <xdr:to>
      <xdr:col>4</xdr:col>
      <xdr:colOff>673100</xdr:colOff>
      <xdr:row>255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F2385E26-7332-CF4D-82FF-D41DF2A068DD}"/>
            </a:ext>
          </a:extLst>
        </xdr:cNvPr>
        <xdr:cNvSpPr/>
      </xdr:nvSpPr>
      <xdr:spPr>
        <a:xfrm>
          <a:off x="2527300" y="521462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Contact</a:t>
          </a:r>
        </a:p>
      </xdr:txBody>
    </xdr:sp>
    <xdr:clientData/>
  </xdr:twoCellAnchor>
  <xdr:twoCellAnchor>
    <xdr:from>
      <xdr:col>3</xdr:col>
      <xdr:colOff>50800</xdr:colOff>
      <xdr:row>263</xdr:row>
      <xdr:rowOff>38100</xdr:rowOff>
    </xdr:from>
    <xdr:to>
      <xdr:col>4</xdr:col>
      <xdr:colOff>673100</xdr:colOff>
      <xdr:row>267</xdr:row>
      <xdr:rowOff>38100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DFC67CC-9920-D14B-A0D7-FBFAEFF9F57E}"/>
            </a:ext>
          </a:extLst>
        </xdr:cNvPr>
        <xdr:cNvSpPr/>
      </xdr:nvSpPr>
      <xdr:spPr>
        <a:xfrm>
          <a:off x="2527300" y="546227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Suggest</a:t>
          </a:r>
        </a:p>
      </xdr:txBody>
    </xdr:sp>
    <xdr:clientData/>
  </xdr:twoCellAnchor>
  <xdr:twoCellAnchor>
    <xdr:from>
      <xdr:col>3</xdr:col>
      <xdr:colOff>38100</xdr:colOff>
      <xdr:row>274</xdr:row>
      <xdr:rowOff>177800</xdr:rowOff>
    </xdr:from>
    <xdr:to>
      <xdr:col>4</xdr:col>
      <xdr:colOff>660400</xdr:colOff>
      <xdr:row>278</xdr:row>
      <xdr:rowOff>177800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E2A37BA5-6FE7-F746-B613-1D0C09DC618E}"/>
            </a:ext>
          </a:extLst>
        </xdr:cNvPr>
        <xdr:cNvSpPr/>
      </xdr:nvSpPr>
      <xdr:spPr>
        <a:xfrm>
          <a:off x="2514600" y="572008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Report</a:t>
          </a:r>
        </a:p>
      </xdr:txBody>
    </xdr:sp>
    <xdr:clientData/>
  </xdr:twoCellAnchor>
  <xdr:twoCellAnchor>
    <xdr:from>
      <xdr:col>3</xdr:col>
      <xdr:colOff>76200</xdr:colOff>
      <xdr:row>256</xdr:row>
      <xdr:rowOff>165100</xdr:rowOff>
    </xdr:from>
    <xdr:to>
      <xdr:col>5</xdr:col>
      <xdr:colOff>457200</xdr:colOff>
      <xdr:row>260</xdr:row>
      <xdr:rowOff>25400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C192CA8-5823-0F46-8CA3-14920DE76045}"/>
            </a:ext>
          </a:extLst>
        </xdr:cNvPr>
        <xdr:cNvSpPr/>
      </xdr:nvSpPr>
      <xdr:spPr>
        <a:xfrm>
          <a:off x="2552700" y="533273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Contact Form</a:t>
          </a:r>
        </a:p>
      </xdr:txBody>
    </xdr:sp>
    <xdr:clientData/>
  </xdr:twoCellAnchor>
  <xdr:twoCellAnchor>
    <xdr:from>
      <xdr:col>3</xdr:col>
      <xdr:colOff>0</xdr:colOff>
      <xdr:row>268</xdr:row>
      <xdr:rowOff>0</xdr:rowOff>
    </xdr:from>
    <xdr:to>
      <xdr:col>5</xdr:col>
      <xdr:colOff>381000</xdr:colOff>
      <xdr:row>271</xdr:row>
      <xdr:rowOff>63500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B5FDBF4-CC75-D244-AE79-A31E27FC88AC}"/>
            </a:ext>
          </a:extLst>
        </xdr:cNvPr>
        <xdr:cNvSpPr/>
      </xdr:nvSpPr>
      <xdr:spPr>
        <a:xfrm>
          <a:off x="2476500" y="556006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Suggest Form</a:t>
          </a:r>
        </a:p>
      </xdr:txBody>
    </xdr:sp>
    <xdr:clientData/>
  </xdr:twoCellAnchor>
  <xdr:twoCellAnchor>
    <xdr:from>
      <xdr:col>15</xdr:col>
      <xdr:colOff>660399</xdr:colOff>
      <xdr:row>35</xdr:row>
      <xdr:rowOff>25400</xdr:rowOff>
    </xdr:from>
    <xdr:to>
      <xdr:col>17</xdr:col>
      <xdr:colOff>460829</xdr:colOff>
      <xdr:row>39</xdr:row>
      <xdr:rowOff>25400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32FDCE4-DD33-0A45-953C-782DBF0F6D5D}"/>
            </a:ext>
          </a:extLst>
        </xdr:cNvPr>
        <xdr:cNvSpPr/>
      </xdr:nvSpPr>
      <xdr:spPr>
        <a:xfrm>
          <a:off x="13178970" y="7699829"/>
          <a:ext cx="1469573" cy="79828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Report</a:t>
          </a:r>
        </a:p>
      </xdr:txBody>
    </xdr:sp>
    <xdr:clientData/>
  </xdr:twoCellAnchor>
  <xdr:twoCellAnchor>
    <xdr:from>
      <xdr:col>3</xdr:col>
      <xdr:colOff>0</xdr:colOff>
      <xdr:row>287</xdr:row>
      <xdr:rowOff>0</xdr:rowOff>
    </xdr:from>
    <xdr:to>
      <xdr:col>4</xdr:col>
      <xdr:colOff>622300</xdr:colOff>
      <xdr:row>291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3CC8C2B3-48ED-E14E-9714-1BD886F5E043}"/>
            </a:ext>
          </a:extLst>
        </xdr:cNvPr>
        <xdr:cNvSpPr/>
      </xdr:nvSpPr>
      <xdr:spPr>
        <a:xfrm>
          <a:off x="2476500" y="59664600"/>
          <a:ext cx="1447800" cy="8128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Site Map</a:t>
          </a:r>
        </a:p>
      </xdr:txBody>
    </xdr:sp>
    <xdr:clientData/>
  </xdr:twoCellAnchor>
  <xdr:twoCellAnchor>
    <xdr:from>
      <xdr:col>3</xdr:col>
      <xdr:colOff>0</xdr:colOff>
      <xdr:row>280</xdr:row>
      <xdr:rowOff>0</xdr:rowOff>
    </xdr:from>
    <xdr:to>
      <xdr:col>5</xdr:col>
      <xdr:colOff>381000</xdr:colOff>
      <xdr:row>283</xdr:row>
      <xdr:rowOff>63500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FE0FE68A-1980-A345-90AB-05A06C1DB74C}"/>
            </a:ext>
          </a:extLst>
        </xdr:cNvPr>
        <xdr:cNvSpPr/>
      </xdr:nvSpPr>
      <xdr:spPr>
        <a:xfrm>
          <a:off x="2476500" y="582422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Report Form</a:t>
          </a:r>
        </a:p>
      </xdr:txBody>
    </xdr:sp>
    <xdr:clientData/>
  </xdr:twoCellAnchor>
  <xdr:twoCellAnchor>
    <xdr:from>
      <xdr:col>3</xdr:col>
      <xdr:colOff>0</xdr:colOff>
      <xdr:row>292</xdr:row>
      <xdr:rowOff>0</xdr:rowOff>
    </xdr:from>
    <xdr:to>
      <xdr:col>5</xdr:col>
      <xdr:colOff>381000</xdr:colOff>
      <xdr:row>295</xdr:row>
      <xdr:rowOff>63500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30F2F65-4310-E54D-8790-A2269A7520B2}"/>
            </a:ext>
          </a:extLst>
        </xdr:cNvPr>
        <xdr:cNvSpPr/>
      </xdr:nvSpPr>
      <xdr:spPr>
        <a:xfrm>
          <a:off x="2476500" y="606806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Site Link</a:t>
          </a:r>
        </a:p>
      </xdr:txBody>
    </xdr:sp>
    <xdr:clientData/>
  </xdr:twoCellAnchor>
  <xdr:twoCellAnchor>
    <xdr:from>
      <xdr:col>0</xdr:col>
      <xdr:colOff>12700</xdr:colOff>
      <xdr:row>232</xdr:row>
      <xdr:rowOff>0</xdr:rowOff>
    </xdr:from>
    <xdr:to>
      <xdr:col>2</xdr:col>
      <xdr:colOff>469900</xdr:colOff>
      <xdr:row>234</xdr:row>
      <xdr:rowOff>63500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EFCE231-B2C5-BC4E-ABA8-957AC7D6B53B}"/>
            </a:ext>
          </a:extLst>
        </xdr:cNvPr>
        <xdr:cNvSpPr/>
      </xdr:nvSpPr>
      <xdr:spPr>
        <a:xfrm>
          <a:off x="12700" y="61912500"/>
          <a:ext cx="2108200" cy="4699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Privacy Policy</a:t>
          </a:r>
        </a:p>
      </xdr:txBody>
    </xdr:sp>
    <xdr:clientData/>
  </xdr:twoCellAnchor>
  <xdr:twoCellAnchor>
    <xdr:from>
      <xdr:col>2</xdr:col>
      <xdr:colOff>673100</xdr:colOff>
      <xdr:row>237</xdr:row>
      <xdr:rowOff>25400</xdr:rowOff>
    </xdr:from>
    <xdr:to>
      <xdr:col>5</xdr:col>
      <xdr:colOff>304800</xdr:colOff>
      <xdr:row>239</xdr:row>
      <xdr:rowOff>88900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D157E628-3EC7-B84E-9833-A7B709D25375}"/>
            </a:ext>
          </a:extLst>
        </xdr:cNvPr>
        <xdr:cNvSpPr/>
      </xdr:nvSpPr>
      <xdr:spPr>
        <a:xfrm>
          <a:off x="2324100" y="62953900"/>
          <a:ext cx="2108200" cy="4699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Privacy Policy</a:t>
          </a:r>
        </a:p>
      </xdr:txBody>
    </xdr:sp>
    <xdr:clientData/>
  </xdr:twoCellAnchor>
  <xdr:twoCellAnchor>
    <xdr:from>
      <xdr:col>2</xdr:col>
      <xdr:colOff>711200</xdr:colOff>
      <xdr:row>241</xdr:row>
      <xdr:rowOff>127000</xdr:rowOff>
    </xdr:from>
    <xdr:to>
      <xdr:col>5</xdr:col>
      <xdr:colOff>266700</xdr:colOff>
      <xdr:row>244</xdr:row>
      <xdr:rowOff>190500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77492DEE-B308-2640-BC2B-E83B1E59F2EC}"/>
            </a:ext>
          </a:extLst>
        </xdr:cNvPr>
        <xdr:cNvSpPr/>
      </xdr:nvSpPr>
      <xdr:spPr>
        <a:xfrm>
          <a:off x="2362200" y="63868300"/>
          <a:ext cx="2032000" cy="673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baseline="0"/>
            <a:t>Policy Info</a:t>
          </a:r>
        </a:p>
      </xdr:txBody>
    </xdr:sp>
    <xdr:clientData/>
  </xdr:twoCellAnchor>
  <xdr:twoCellAnchor>
    <xdr:from>
      <xdr:col>6</xdr:col>
      <xdr:colOff>266700</xdr:colOff>
      <xdr:row>95</xdr:row>
      <xdr:rowOff>88900</xdr:rowOff>
    </xdr:from>
    <xdr:to>
      <xdr:col>8</xdr:col>
      <xdr:colOff>400957</xdr:colOff>
      <xdr:row>99</xdr:row>
      <xdr:rowOff>38100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D90F0DA-CBC5-C54F-AE91-55E67293D562}"/>
            </a:ext>
          </a:extLst>
        </xdr:cNvPr>
        <xdr:cNvSpPr/>
      </xdr:nvSpPr>
      <xdr:spPr>
        <a:xfrm>
          <a:off x="5219700" y="20053300"/>
          <a:ext cx="1785257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Site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17</xdr:row>
      <xdr:rowOff>0</xdr:rowOff>
    </xdr:from>
    <xdr:to>
      <xdr:col>9</xdr:col>
      <xdr:colOff>63500</xdr:colOff>
      <xdr:row>20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B57F481-4D6C-004C-89C8-8CC4C67B42BC}"/>
            </a:ext>
          </a:extLst>
        </xdr:cNvPr>
        <xdr:cNvSpPr/>
      </xdr:nvSpPr>
      <xdr:spPr>
        <a:xfrm>
          <a:off x="5181600" y="4102100"/>
          <a:ext cx="23114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</a:p>
      </xdr:txBody>
    </xdr:sp>
    <xdr:clientData/>
  </xdr:twoCellAnchor>
  <xdr:twoCellAnchor>
    <xdr:from>
      <xdr:col>6</xdr:col>
      <xdr:colOff>368300</xdr:colOff>
      <xdr:row>24</xdr:row>
      <xdr:rowOff>190500</xdr:rowOff>
    </xdr:from>
    <xdr:to>
      <xdr:col>8</xdr:col>
      <xdr:colOff>736600</xdr:colOff>
      <xdr:row>28</xdr:row>
      <xdr:rowOff>50800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1051DEC-0773-3A42-8322-BB2E24EBB5D9}"/>
            </a:ext>
          </a:extLst>
        </xdr:cNvPr>
        <xdr:cNvSpPr/>
      </xdr:nvSpPr>
      <xdr:spPr>
        <a:xfrm>
          <a:off x="5321300" y="5715000"/>
          <a:ext cx="2019300" cy="67310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 Manage</a:t>
          </a:r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14</xdr:col>
      <xdr:colOff>660400</xdr:colOff>
      <xdr:row>20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4875164-8857-B948-90F7-43C703D0A68F}"/>
            </a:ext>
          </a:extLst>
        </xdr:cNvPr>
        <xdr:cNvSpPr/>
      </xdr:nvSpPr>
      <xdr:spPr>
        <a:xfrm>
          <a:off x="9906000" y="4102100"/>
          <a:ext cx="2311400" cy="762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Access</a:t>
          </a:r>
        </a:p>
      </xdr:txBody>
    </xdr:sp>
    <xdr:clientData/>
  </xdr:twoCellAnchor>
  <xdr:twoCellAnchor>
    <xdr:from>
      <xdr:col>12</xdr:col>
      <xdr:colOff>203200</xdr:colOff>
      <xdr:row>24</xdr:row>
      <xdr:rowOff>139700</xdr:rowOff>
    </xdr:from>
    <xdr:to>
      <xdr:col>14</xdr:col>
      <xdr:colOff>571500</xdr:colOff>
      <xdr:row>28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DD98238-B013-B948-BC9E-5E26CE345E11}"/>
            </a:ext>
          </a:extLst>
        </xdr:cNvPr>
        <xdr:cNvSpPr/>
      </xdr:nvSpPr>
      <xdr:spPr>
        <a:xfrm>
          <a:off x="10109200" y="5664200"/>
          <a:ext cx="2019300" cy="67310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Login</a:t>
          </a:r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3</xdr:col>
      <xdr:colOff>38100</xdr:colOff>
      <xdr:row>38</xdr:row>
      <xdr:rowOff>127000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828173B-8EE8-924F-948E-43F77A1ADDC5}"/>
            </a:ext>
          </a:extLst>
        </xdr:cNvPr>
        <xdr:cNvSpPr/>
      </xdr:nvSpPr>
      <xdr:spPr>
        <a:xfrm>
          <a:off x="0" y="7962900"/>
          <a:ext cx="25146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368300</xdr:colOff>
      <xdr:row>43</xdr:row>
      <xdr:rowOff>63500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792F023-86FE-2648-A8A5-DAAADD7094EB}"/>
            </a:ext>
          </a:extLst>
        </xdr:cNvPr>
        <xdr:cNvSpPr/>
      </xdr:nvSpPr>
      <xdr:spPr>
        <a:xfrm>
          <a:off x="3302000" y="8788400"/>
          <a:ext cx="2019300" cy="67310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 Manage</a:t>
          </a:r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7</xdr:col>
      <xdr:colOff>0</xdr:colOff>
      <xdr:row>49</xdr:row>
      <xdr:rowOff>190500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0662787-A6D2-5D48-8119-84298100D4E2}"/>
            </a:ext>
          </a:extLst>
        </xdr:cNvPr>
        <xdr:cNvSpPr/>
      </xdr:nvSpPr>
      <xdr:spPr>
        <a:xfrm>
          <a:off x="3302000" y="10007600"/>
          <a:ext cx="2476500" cy="800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  <a:r>
            <a:rPr lang="en-US" sz="2200" baseline="0"/>
            <a:t> Request List</a:t>
          </a:r>
          <a:endParaRPr lang="en-US" sz="2200"/>
        </a:p>
      </xdr:txBody>
    </xdr:sp>
    <xdr:clientData/>
  </xdr:twoCellAnchor>
  <xdr:twoCellAnchor>
    <xdr:from>
      <xdr:col>4</xdr:col>
      <xdr:colOff>0</xdr:colOff>
      <xdr:row>51</xdr:row>
      <xdr:rowOff>63500</xdr:rowOff>
    </xdr:from>
    <xdr:to>
      <xdr:col>7</xdr:col>
      <xdr:colOff>0</xdr:colOff>
      <xdr:row>55</xdr:row>
      <xdr:rowOff>50800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F083791-D8FE-1B48-B9D3-E98387B5706C}"/>
            </a:ext>
          </a:extLst>
        </xdr:cNvPr>
        <xdr:cNvSpPr/>
      </xdr:nvSpPr>
      <xdr:spPr>
        <a:xfrm>
          <a:off x="3302000" y="11087100"/>
          <a:ext cx="2476500" cy="800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  <a:r>
            <a:rPr lang="en-US" sz="2200" baseline="0"/>
            <a:t> Waiting List</a:t>
          </a:r>
          <a:endParaRPr lang="en-US" sz="22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7</xdr:col>
      <xdr:colOff>0</xdr:colOff>
      <xdr:row>60</xdr:row>
      <xdr:rowOff>190500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22462CD-376B-8149-B5C9-F31DE291F8B9}"/>
            </a:ext>
          </a:extLst>
        </xdr:cNvPr>
        <xdr:cNvSpPr/>
      </xdr:nvSpPr>
      <xdr:spPr>
        <a:xfrm>
          <a:off x="3302000" y="12242800"/>
          <a:ext cx="2476500" cy="8001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  <a:r>
            <a:rPr lang="en-US" sz="2200" baseline="0"/>
            <a:t> History</a:t>
          </a:r>
          <a:endParaRPr lang="en-US" sz="2200"/>
        </a:p>
      </xdr:txBody>
    </xdr:sp>
    <xdr:clientData/>
  </xdr:twoCellAnchor>
  <xdr:twoCellAnchor>
    <xdr:from>
      <xdr:col>8</xdr:col>
      <xdr:colOff>0</xdr:colOff>
      <xdr:row>46</xdr:row>
      <xdr:rowOff>0</xdr:rowOff>
    </xdr:from>
    <xdr:to>
      <xdr:col>11</xdr:col>
      <xdr:colOff>12700</xdr:colOff>
      <xdr:row>50</xdr:row>
      <xdr:rowOff>63500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287D53F-B32C-E348-AC60-9DCB64B5416E}"/>
            </a:ext>
          </a:extLst>
        </xdr:cNvPr>
        <xdr:cNvSpPr/>
      </xdr:nvSpPr>
      <xdr:spPr>
        <a:xfrm>
          <a:off x="6604000" y="10007600"/>
          <a:ext cx="2489200" cy="8763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Order</a:t>
          </a:r>
          <a:r>
            <a:rPr lang="en-US" sz="2200" baseline="0"/>
            <a:t> Status Change</a:t>
          </a:r>
          <a:endParaRPr lang="en-US" sz="2200"/>
        </a:p>
      </xdr:txBody>
    </xdr:sp>
    <xdr:clientData/>
  </xdr:twoCellAnchor>
  <xdr:twoCellAnchor>
    <xdr:from>
      <xdr:col>0</xdr:col>
      <xdr:colOff>0</xdr:colOff>
      <xdr:row>66</xdr:row>
      <xdr:rowOff>0</xdr:rowOff>
    </xdr:from>
    <xdr:to>
      <xdr:col>3</xdr:col>
      <xdr:colOff>38100</xdr:colOff>
      <xdr:row>68</xdr:row>
      <xdr:rowOff>127000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6FCF129-06EA-8C40-91A4-24861953D6FE}"/>
            </a:ext>
          </a:extLst>
        </xdr:cNvPr>
        <xdr:cNvSpPr/>
      </xdr:nvSpPr>
      <xdr:spPr>
        <a:xfrm>
          <a:off x="0" y="14084300"/>
          <a:ext cx="2514600" cy="533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Access</a:t>
          </a:r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6</xdr:col>
      <xdr:colOff>368300</xdr:colOff>
      <xdr:row>74</xdr:row>
      <xdr:rowOff>63500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D82DC0F-680F-8849-96A5-C1C8AF2AB0F3}"/>
            </a:ext>
          </a:extLst>
        </xdr:cNvPr>
        <xdr:cNvSpPr/>
      </xdr:nvSpPr>
      <xdr:spPr>
        <a:xfrm>
          <a:off x="3302000" y="15100300"/>
          <a:ext cx="2019300" cy="67310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Login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6</xdr:col>
      <xdr:colOff>381000</xdr:colOff>
      <xdr:row>80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E69E806-1CE0-DC40-8756-970B5B17CF5B}"/>
            </a:ext>
          </a:extLst>
        </xdr:cNvPr>
        <xdr:cNvSpPr/>
      </xdr:nvSpPr>
      <xdr:spPr>
        <a:xfrm>
          <a:off x="3302000" y="16319500"/>
          <a:ext cx="2032000" cy="762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/>
            <a:t>Login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E950-5B3C-524E-9704-0609BF069824}">
  <sheetPr>
    <pageSetUpPr fitToPage="1"/>
  </sheetPr>
  <dimension ref="A1:Q106"/>
  <sheetViews>
    <sheetView showGridLines="0" view="pageBreakPreview" topLeftCell="A5" zoomScaleNormal="100" zoomScaleSheetLayoutView="100" workbookViewId="0">
      <selection activeCell="A5" sqref="A5"/>
    </sheetView>
  </sheetViews>
  <sheetFormatPr baseColWidth="10" defaultRowHeight="16" x14ac:dyDescent="0.2"/>
  <cols>
    <col min="4" max="4" width="5.5" customWidth="1"/>
    <col min="13" max="13" width="14.6640625" bestFit="1" customWidth="1"/>
  </cols>
  <sheetData>
    <row r="1" spans="1:17" ht="43" customHeight="1" x14ac:dyDescent="0.6">
      <c r="A1" s="74"/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  <c r="M1" s="78"/>
      <c r="N1" s="79"/>
      <c r="O1" s="61"/>
      <c r="P1" s="61"/>
      <c r="Q1" s="61"/>
    </row>
    <row r="2" spans="1:17" ht="43" customHeight="1" x14ac:dyDescent="0.6">
      <c r="A2" s="60"/>
      <c r="B2" s="59"/>
      <c r="C2" s="77"/>
      <c r="D2" s="77"/>
      <c r="E2" s="77"/>
      <c r="F2" s="77"/>
      <c r="G2" s="77"/>
      <c r="H2" s="77"/>
      <c r="I2" s="77"/>
      <c r="J2" s="77"/>
      <c r="K2" s="77"/>
      <c r="L2" s="77"/>
      <c r="M2" s="5"/>
      <c r="N2" s="43"/>
      <c r="O2" s="61"/>
      <c r="P2" s="61"/>
      <c r="Q2" s="61"/>
    </row>
    <row r="3" spans="1:17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0"/>
    </row>
    <row r="4" spans="1:17" x14ac:dyDescent="0.2">
      <c r="A4" s="9"/>
      <c r="B4" s="3"/>
      <c r="C4" s="3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  <c r="O4" s="86"/>
      <c r="P4" s="86"/>
    </row>
    <row r="5" spans="1:17" x14ac:dyDescent="0.2">
      <c r="A5" s="9"/>
      <c r="B5" s="3"/>
      <c r="C5" s="3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  <c r="O5" s="86"/>
      <c r="P5" s="86"/>
    </row>
    <row r="6" spans="1:17" x14ac:dyDescent="0.2">
      <c r="A6" s="9"/>
      <c r="B6" s="3"/>
      <c r="C6" s="3"/>
      <c r="D6" s="88"/>
      <c r="E6" s="88"/>
      <c r="F6" s="88"/>
      <c r="G6" s="88"/>
      <c r="H6" s="88"/>
      <c r="I6" s="88"/>
      <c r="J6" s="88"/>
      <c r="K6" s="88"/>
      <c r="L6" s="88"/>
      <c r="M6" s="88"/>
      <c r="N6" s="89"/>
      <c r="O6" s="86"/>
      <c r="P6" s="86"/>
    </row>
    <row r="7" spans="1:17" x14ac:dyDescent="0.2">
      <c r="A7" s="9"/>
      <c r="B7" s="3"/>
      <c r="C7" s="3"/>
      <c r="D7" s="88"/>
      <c r="E7" s="88"/>
      <c r="F7" s="88"/>
      <c r="G7" s="88"/>
      <c r="H7" s="88"/>
      <c r="I7" s="88"/>
      <c r="J7" s="88"/>
      <c r="K7" s="88"/>
      <c r="L7" s="88"/>
      <c r="M7" s="88"/>
      <c r="N7" s="89"/>
      <c r="O7" s="86"/>
      <c r="P7" s="86"/>
    </row>
    <row r="8" spans="1:17" x14ac:dyDescent="0.2">
      <c r="A8" s="9"/>
      <c r="B8" s="3"/>
      <c r="C8" s="3"/>
      <c r="D8" s="88"/>
      <c r="E8" s="88"/>
      <c r="F8" s="88"/>
      <c r="G8" s="88"/>
      <c r="H8" s="88"/>
      <c r="I8" s="88"/>
      <c r="J8" s="88"/>
      <c r="K8" s="88"/>
      <c r="L8" s="88"/>
      <c r="M8" s="88"/>
      <c r="N8" s="89"/>
      <c r="O8" s="86"/>
      <c r="P8" s="86"/>
    </row>
    <row r="9" spans="1:17" x14ac:dyDescent="0.2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0"/>
    </row>
    <row r="10" spans="1:17" x14ac:dyDescent="0.2">
      <c r="A10" s="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0"/>
    </row>
    <row r="11" spans="1:17" x14ac:dyDescent="0.2">
      <c r="A11" s="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0"/>
    </row>
    <row r="12" spans="1:17" x14ac:dyDescent="0.2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0"/>
    </row>
    <row r="13" spans="1:17" x14ac:dyDescent="0.2">
      <c r="A13" s="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0"/>
    </row>
    <row r="14" spans="1:17" x14ac:dyDescent="0.2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0"/>
    </row>
    <row r="15" spans="1:17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0"/>
    </row>
    <row r="16" spans="1:17" x14ac:dyDescent="0.2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0"/>
    </row>
    <row r="17" spans="1:14" x14ac:dyDescent="0.2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0"/>
    </row>
    <row r="18" spans="1:14" x14ac:dyDescent="0.2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0"/>
    </row>
    <row r="19" spans="1:14" x14ac:dyDescent="0.2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0"/>
    </row>
    <row r="20" spans="1:14" x14ac:dyDescent="0.2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0"/>
    </row>
    <row r="21" spans="1:14" x14ac:dyDescent="0.2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0"/>
    </row>
    <row r="22" spans="1:14" x14ac:dyDescent="0.2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0"/>
    </row>
    <row r="23" spans="1:14" x14ac:dyDescent="0.2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0"/>
    </row>
    <row r="24" spans="1:14" x14ac:dyDescent="0.2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0"/>
    </row>
    <row r="25" spans="1:14" x14ac:dyDescent="0.2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0"/>
    </row>
    <row r="26" spans="1:14" x14ac:dyDescent="0.2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0"/>
    </row>
    <row r="27" spans="1:14" x14ac:dyDescent="0.2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0"/>
    </row>
    <row r="28" spans="1:14" x14ac:dyDescent="0.2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0"/>
    </row>
    <row r="29" spans="1:14" x14ac:dyDescent="0.2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0"/>
    </row>
    <row r="30" spans="1:14" x14ac:dyDescent="0.2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0"/>
    </row>
    <row r="31" spans="1:14" ht="96" x14ac:dyDescent="0.2">
      <c r="A31" s="298" t="s">
        <v>62</v>
      </c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300"/>
    </row>
    <row r="32" spans="1:14" x14ac:dyDescent="0.2">
      <c r="A32" s="9"/>
      <c r="B32" s="3"/>
      <c r="C32" s="3"/>
      <c r="D32" s="4"/>
      <c r="E32" s="4"/>
      <c r="F32" s="4"/>
      <c r="G32" s="4"/>
      <c r="H32" s="4"/>
      <c r="I32" s="4"/>
      <c r="J32" s="4"/>
      <c r="K32" s="4"/>
      <c r="L32" s="3"/>
      <c r="M32" s="3"/>
      <c r="N32" s="10"/>
    </row>
    <row r="33" spans="1:14" x14ac:dyDescent="0.2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0"/>
    </row>
    <row r="34" spans="1:14" ht="47" x14ac:dyDescent="0.55000000000000004">
      <c r="A34" s="295" t="s">
        <v>55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7"/>
    </row>
    <row r="35" spans="1:14" x14ac:dyDescent="0.2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0"/>
    </row>
    <row r="36" spans="1:14" x14ac:dyDescent="0.2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0"/>
    </row>
    <row r="37" spans="1:14" x14ac:dyDescent="0.2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0"/>
    </row>
    <row r="38" spans="1:14" x14ac:dyDescent="0.2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0"/>
    </row>
    <row r="39" spans="1:14" x14ac:dyDescent="0.2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0"/>
    </row>
    <row r="40" spans="1:14" x14ac:dyDescent="0.2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0"/>
    </row>
    <row r="41" spans="1:14" x14ac:dyDescent="0.2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0"/>
    </row>
    <row r="42" spans="1:14" x14ac:dyDescent="0.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0"/>
    </row>
    <row r="43" spans="1:14" x14ac:dyDescent="0.2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0"/>
    </row>
    <row r="44" spans="1:14" x14ac:dyDescent="0.2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0"/>
    </row>
    <row r="45" spans="1:14" x14ac:dyDescent="0.2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0"/>
    </row>
    <row r="46" spans="1:14" x14ac:dyDescent="0.2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0"/>
    </row>
    <row r="47" spans="1:14" x14ac:dyDescent="0.2">
      <c r="A47" s="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0"/>
    </row>
    <row r="48" spans="1:14" x14ac:dyDescent="0.2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0"/>
    </row>
    <row r="49" spans="1:14" x14ac:dyDescent="0.2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10"/>
    </row>
    <row r="50" spans="1:14" x14ac:dyDescent="0.2">
      <c r="A50" s="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0"/>
    </row>
    <row r="51" spans="1:14" x14ac:dyDescent="0.2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0"/>
    </row>
    <row r="52" spans="1:14" x14ac:dyDescent="0.2">
      <c r="A52" s="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0"/>
    </row>
    <row r="53" spans="1:14" x14ac:dyDescent="0.2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0"/>
    </row>
    <row r="54" spans="1:14" x14ac:dyDescent="0.2">
      <c r="A54" s="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0"/>
    </row>
    <row r="55" spans="1:14" x14ac:dyDescent="0.2">
      <c r="A55" s="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0"/>
    </row>
    <row r="56" spans="1:14" x14ac:dyDescent="0.2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10"/>
    </row>
    <row r="57" spans="1:14" ht="24" x14ac:dyDescent="0.3">
      <c r="A57" s="9"/>
      <c r="B57" s="293" t="s">
        <v>19</v>
      </c>
      <c r="C57" s="293"/>
      <c r="D57" s="66">
        <v>1</v>
      </c>
      <c r="E57" s="67" t="s">
        <v>61</v>
      </c>
      <c r="F57" s="44"/>
      <c r="G57" s="3"/>
      <c r="H57" s="3"/>
      <c r="I57" s="3"/>
      <c r="J57" s="3"/>
      <c r="K57" s="3"/>
      <c r="L57" s="3"/>
      <c r="M57" s="3"/>
      <c r="N57" s="10"/>
    </row>
    <row r="58" spans="1:14" ht="24" x14ac:dyDescent="0.3">
      <c r="A58" s="9"/>
      <c r="B58" s="3"/>
      <c r="C58" s="3"/>
      <c r="D58" s="66">
        <v>2</v>
      </c>
      <c r="E58" s="67" t="s">
        <v>57</v>
      </c>
      <c r="F58" s="44"/>
      <c r="G58" s="3"/>
      <c r="H58" s="3"/>
      <c r="I58" s="3"/>
      <c r="J58" s="3"/>
      <c r="K58" s="3"/>
      <c r="L58" s="3"/>
      <c r="M58" s="3"/>
      <c r="N58" s="10"/>
    </row>
    <row r="59" spans="1:14" ht="24" x14ac:dyDescent="0.3">
      <c r="A59" s="9"/>
      <c r="B59" s="3"/>
      <c r="C59" s="3"/>
      <c r="D59" s="66">
        <v>3</v>
      </c>
      <c r="E59" s="67" t="s">
        <v>58</v>
      </c>
      <c r="F59" s="44"/>
      <c r="G59" s="3"/>
      <c r="H59" s="3"/>
      <c r="I59" s="3"/>
      <c r="J59" s="3"/>
      <c r="K59" s="3"/>
      <c r="L59" s="3"/>
      <c r="M59" s="3"/>
      <c r="N59" s="10"/>
    </row>
    <row r="60" spans="1:14" ht="24" x14ac:dyDescent="0.3">
      <c r="A60" s="9"/>
      <c r="B60" s="3"/>
      <c r="C60" s="3"/>
      <c r="D60" s="66">
        <v>4</v>
      </c>
      <c r="E60" s="67" t="s">
        <v>59</v>
      </c>
      <c r="F60" s="44"/>
      <c r="G60" s="3"/>
      <c r="H60" s="3"/>
      <c r="I60" s="3"/>
      <c r="J60" s="3"/>
      <c r="K60" s="3"/>
      <c r="L60" s="3"/>
      <c r="M60" s="3"/>
      <c r="N60" s="10"/>
    </row>
    <row r="61" spans="1:14" ht="24" x14ac:dyDescent="0.3">
      <c r="A61" s="9"/>
      <c r="B61" s="3"/>
      <c r="C61" s="3"/>
      <c r="D61" s="66">
        <v>5</v>
      </c>
      <c r="E61" s="67" t="s">
        <v>56</v>
      </c>
      <c r="F61" s="44"/>
      <c r="G61" s="3"/>
      <c r="H61" s="3"/>
      <c r="I61" s="3"/>
      <c r="J61" s="3"/>
      <c r="K61" s="3"/>
      <c r="L61" s="3"/>
      <c r="M61" s="3"/>
      <c r="N61" s="10"/>
    </row>
    <row r="62" spans="1:14" ht="24" x14ac:dyDescent="0.3">
      <c r="A62" s="9"/>
      <c r="B62" s="3"/>
      <c r="C62" s="3"/>
      <c r="D62" s="68">
        <v>6</v>
      </c>
      <c r="E62" s="67" t="s">
        <v>60</v>
      </c>
      <c r="F62" s="44"/>
      <c r="G62" s="3"/>
      <c r="H62" s="3"/>
      <c r="I62" s="3"/>
      <c r="J62" s="3"/>
      <c r="K62" s="3"/>
      <c r="L62" s="3"/>
      <c r="M62" s="3"/>
      <c r="N62" s="10"/>
    </row>
    <row r="63" spans="1:14" ht="21" x14ac:dyDescent="0.25">
      <c r="A63" s="9"/>
      <c r="B63" s="3"/>
      <c r="C63" s="3"/>
      <c r="D63" s="3"/>
      <c r="E63" s="3"/>
      <c r="F63" s="3"/>
      <c r="G63" s="3"/>
      <c r="H63" s="3"/>
      <c r="I63" s="3"/>
      <c r="J63" s="3"/>
      <c r="K63" s="294" t="s">
        <v>21</v>
      </c>
      <c r="L63" s="294"/>
      <c r="M63" s="69">
        <v>44555</v>
      </c>
      <c r="N63" s="10"/>
    </row>
    <row r="64" spans="1:14" ht="21" x14ac:dyDescent="0.25">
      <c r="A64" s="9"/>
      <c r="B64" s="3"/>
      <c r="C64" s="3"/>
      <c r="D64" s="3"/>
      <c r="E64" s="3"/>
      <c r="F64" s="3"/>
      <c r="G64" s="3"/>
      <c r="H64" s="3"/>
      <c r="I64" s="3"/>
      <c r="J64" s="3"/>
      <c r="K64" s="294" t="s">
        <v>20</v>
      </c>
      <c r="L64" s="294"/>
      <c r="M64" s="69">
        <f ca="1">NOW()</f>
        <v>44662.727361805555</v>
      </c>
      <c r="N64" s="10"/>
    </row>
    <row r="65" spans="1:14" x14ac:dyDescent="0.2">
      <c r="A65" s="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10"/>
    </row>
    <row r="66" spans="1:14" ht="17" thickBot="1" x14ac:dyDescent="0.2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</row>
    <row r="101" spans="3:4" x14ac:dyDescent="0.2">
      <c r="D101" t="s">
        <v>402</v>
      </c>
    </row>
    <row r="104" spans="3:4" x14ac:dyDescent="0.2">
      <c r="C104" t="s">
        <v>217</v>
      </c>
      <c r="D104" t="s">
        <v>218</v>
      </c>
    </row>
    <row r="105" spans="3:4" x14ac:dyDescent="0.2">
      <c r="C105" t="s">
        <v>403</v>
      </c>
      <c r="D105" t="s">
        <v>404</v>
      </c>
    </row>
    <row r="106" spans="3:4" x14ac:dyDescent="0.2">
      <c r="C106" t="s">
        <v>405</v>
      </c>
      <c r="D106" t="s">
        <v>406</v>
      </c>
    </row>
  </sheetData>
  <mergeCells count="5">
    <mergeCell ref="B57:C57"/>
    <mergeCell ref="K63:L63"/>
    <mergeCell ref="K64:L64"/>
    <mergeCell ref="A34:N34"/>
    <mergeCell ref="A31:N31"/>
  </mergeCells>
  <printOptions horizontalCentered="1"/>
  <pageMargins left="0.25" right="0.25" top="0.75" bottom="0.75" header="0.3" footer="0.3"/>
  <pageSetup paperSize="9" scale="61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1546-647D-314F-966F-D11091521896}">
  <dimension ref="A1:Q64"/>
  <sheetViews>
    <sheetView showGridLines="0" view="pageBreakPreview" topLeftCell="A10" zoomScaleNormal="100" zoomScaleSheetLayoutView="100" workbookViewId="0">
      <selection activeCell="N27" sqref="N27"/>
    </sheetView>
  </sheetViews>
  <sheetFormatPr baseColWidth="10" defaultRowHeight="16" x14ac:dyDescent="0.2"/>
  <cols>
    <col min="15" max="15" width="14.83203125" customWidth="1"/>
    <col min="16" max="16" width="13.83203125" customWidth="1"/>
  </cols>
  <sheetData>
    <row r="1" spans="1:17" ht="43" customHeight="1" x14ac:dyDescent="0.2">
      <c r="A1" s="301" t="s">
        <v>53</v>
      </c>
      <c r="B1" s="302"/>
      <c r="C1" s="305" t="str">
        <f>Cover!A31</f>
        <v>Food_Lab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307"/>
      <c r="O1" s="19" t="s">
        <v>21</v>
      </c>
      <c r="P1" s="311">
        <v>44555</v>
      </c>
      <c r="Q1" s="312"/>
    </row>
    <row r="2" spans="1:17" ht="43" customHeight="1" thickBot="1" x14ac:dyDescent="0.25">
      <c r="A2" s="303"/>
      <c r="B2" s="304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310"/>
      <c r="O2" s="20" t="s">
        <v>20</v>
      </c>
      <c r="P2" s="313">
        <f ca="1">NOW()</f>
        <v>44662.727361805555</v>
      </c>
      <c r="Q2" s="314"/>
    </row>
    <row r="3" spans="1:17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0"/>
    </row>
    <row r="4" spans="1:17" x14ac:dyDescent="0.2">
      <c r="A4" s="9"/>
      <c r="B4" s="3"/>
      <c r="C4" s="3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10"/>
    </row>
    <row r="5" spans="1:17" s="2" customFormat="1" ht="33" x14ac:dyDescent="0.4">
      <c r="A5" s="94" t="s">
        <v>42</v>
      </c>
      <c r="B5" s="95"/>
      <c r="C5" s="96"/>
      <c r="D5" s="97"/>
      <c r="E5" s="97"/>
      <c r="F5" s="97"/>
      <c r="G5" s="97"/>
      <c r="H5" s="97"/>
      <c r="I5" s="97"/>
      <c r="J5" s="97"/>
      <c r="K5" s="97"/>
      <c r="L5" s="97"/>
      <c r="M5" s="98"/>
      <c r="N5" s="97"/>
      <c r="O5" s="97"/>
      <c r="P5" s="97"/>
      <c r="Q5" s="99"/>
    </row>
    <row r="6" spans="1:17" ht="33" x14ac:dyDescent="0.4">
      <c r="A6" s="100"/>
      <c r="B6" s="95"/>
      <c r="C6" s="95">
        <v>1</v>
      </c>
      <c r="D6" s="97" t="s">
        <v>63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9"/>
    </row>
    <row r="7" spans="1:17" ht="33" x14ac:dyDescent="0.4">
      <c r="A7" s="100"/>
      <c r="B7" s="95"/>
      <c r="C7" s="95"/>
      <c r="D7" s="101" t="s">
        <v>43</v>
      </c>
      <c r="E7" s="97" t="s">
        <v>64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9"/>
    </row>
    <row r="8" spans="1:17" ht="33" x14ac:dyDescent="0.4">
      <c r="A8" s="100"/>
      <c r="B8" s="95"/>
      <c r="C8" s="95"/>
      <c r="D8" s="97"/>
      <c r="E8" s="102" t="s">
        <v>44</v>
      </c>
      <c r="F8" s="97" t="s">
        <v>64</v>
      </c>
      <c r="G8" s="97"/>
      <c r="H8" s="97"/>
      <c r="I8" s="97"/>
      <c r="J8" s="97"/>
      <c r="K8" s="97"/>
      <c r="L8" s="97"/>
      <c r="M8" s="97"/>
      <c r="N8" s="97"/>
      <c r="O8" s="97"/>
      <c r="P8" s="97"/>
      <c r="Q8" s="99"/>
    </row>
    <row r="9" spans="1:17" ht="33" x14ac:dyDescent="0.4">
      <c r="A9" s="100"/>
      <c r="B9" s="95"/>
      <c r="C9" s="95"/>
      <c r="D9" s="95"/>
      <c r="E9" s="95"/>
      <c r="F9" s="95" t="s">
        <v>45</v>
      </c>
      <c r="G9" s="95" t="s">
        <v>70</v>
      </c>
      <c r="H9" s="95"/>
      <c r="I9" s="95"/>
      <c r="J9" s="95"/>
      <c r="K9" s="95"/>
      <c r="L9" s="95"/>
      <c r="M9" s="95"/>
      <c r="N9" s="95"/>
      <c r="O9" s="95"/>
      <c r="P9" s="95"/>
      <c r="Q9" s="99"/>
    </row>
    <row r="10" spans="1:17" ht="33" x14ac:dyDescent="0.4">
      <c r="A10" s="100"/>
      <c r="B10" s="95"/>
      <c r="C10" s="95"/>
      <c r="D10" s="95"/>
      <c r="E10" s="95"/>
      <c r="F10" s="95" t="s">
        <v>46</v>
      </c>
      <c r="G10" s="95" t="s">
        <v>69</v>
      </c>
      <c r="H10" s="95"/>
      <c r="I10" s="95"/>
      <c r="J10" s="95"/>
      <c r="K10" s="95"/>
      <c r="L10" s="95"/>
      <c r="M10" s="95"/>
      <c r="N10" s="95"/>
      <c r="O10" s="95"/>
      <c r="P10" s="95"/>
      <c r="Q10" s="99"/>
    </row>
    <row r="11" spans="1:17" ht="33" x14ac:dyDescent="0.4">
      <c r="A11" s="100"/>
      <c r="B11" s="95"/>
      <c r="C11" s="95"/>
      <c r="D11" s="95"/>
      <c r="E11" s="95"/>
      <c r="F11" s="95" t="s">
        <v>47</v>
      </c>
      <c r="G11" s="95" t="s">
        <v>68</v>
      </c>
      <c r="H11" s="95"/>
      <c r="I11" s="95"/>
      <c r="J11" s="95" t="s">
        <v>89</v>
      </c>
      <c r="K11" s="95"/>
      <c r="L11" s="95"/>
      <c r="M11" s="95"/>
      <c r="N11" s="95"/>
      <c r="O11" s="95"/>
      <c r="P11" s="95"/>
      <c r="Q11" s="99"/>
    </row>
    <row r="12" spans="1:17" ht="33" x14ac:dyDescent="0.4">
      <c r="A12" s="100"/>
      <c r="B12" s="95"/>
      <c r="C12" s="95"/>
      <c r="D12" s="95"/>
      <c r="E12" s="95"/>
      <c r="F12" s="95" t="s">
        <v>48</v>
      </c>
      <c r="G12" s="95" t="s">
        <v>75</v>
      </c>
      <c r="H12" s="95"/>
      <c r="I12" s="95"/>
      <c r="J12" s="95"/>
      <c r="K12" s="95"/>
      <c r="L12" s="95"/>
      <c r="M12" s="95"/>
      <c r="N12" s="95"/>
      <c r="O12" s="95"/>
      <c r="P12" s="95"/>
      <c r="Q12" s="99"/>
    </row>
    <row r="13" spans="1:17" ht="33" x14ac:dyDescent="0.4">
      <c r="A13" s="100"/>
      <c r="B13" s="95"/>
      <c r="C13" s="95"/>
      <c r="D13" s="95"/>
      <c r="E13" s="95"/>
      <c r="F13" s="95" t="s">
        <v>49</v>
      </c>
      <c r="G13" s="95" t="s">
        <v>76</v>
      </c>
      <c r="H13" s="95"/>
      <c r="I13" s="95"/>
      <c r="J13" s="95"/>
      <c r="K13" s="95"/>
      <c r="L13" s="95"/>
      <c r="M13" s="95"/>
      <c r="N13" s="95"/>
      <c r="O13" s="95"/>
      <c r="P13" s="95"/>
      <c r="Q13" s="99"/>
    </row>
    <row r="14" spans="1:17" ht="33" x14ac:dyDescent="0.4">
      <c r="A14" s="100"/>
      <c r="B14" s="95"/>
      <c r="C14" s="95"/>
      <c r="D14" s="95"/>
      <c r="E14" s="95"/>
      <c r="F14" s="95" t="s">
        <v>77</v>
      </c>
      <c r="G14" s="95" t="s">
        <v>82</v>
      </c>
      <c r="H14" s="95"/>
      <c r="I14" s="95"/>
      <c r="J14" s="95"/>
      <c r="K14" s="95"/>
      <c r="L14" s="95"/>
      <c r="M14" s="95"/>
      <c r="N14" s="95"/>
      <c r="O14" s="95"/>
      <c r="P14" s="95"/>
      <c r="Q14" s="99"/>
    </row>
    <row r="15" spans="1:17" ht="33" x14ac:dyDescent="0.4">
      <c r="A15" s="100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9"/>
    </row>
    <row r="16" spans="1:17" ht="33" x14ac:dyDescent="0.4">
      <c r="A16" s="100"/>
      <c r="B16" s="95"/>
      <c r="C16" s="95"/>
      <c r="D16" s="101" t="s">
        <v>50</v>
      </c>
      <c r="E16" s="97" t="s">
        <v>179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9"/>
    </row>
    <row r="17" spans="1:17" ht="33" x14ac:dyDescent="0.4">
      <c r="A17" s="100"/>
      <c r="B17" s="95"/>
      <c r="C17" s="95"/>
      <c r="D17" s="95"/>
      <c r="E17" s="103" t="s">
        <v>51</v>
      </c>
      <c r="F17" s="95" t="s">
        <v>52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9"/>
    </row>
    <row r="18" spans="1:17" ht="33" x14ac:dyDescent="0.4">
      <c r="A18" s="100"/>
      <c r="B18" s="95"/>
      <c r="C18" s="95"/>
      <c r="D18" s="95"/>
      <c r="E18" s="95"/>
      <c r="F18" s="95" t="s">
        <v>45</v>
      </c>
      <c r="G18" s="95" t="s">
        <v>70</v>
      </c>
      <c r="H18" s="95"/>
      <c r="I18" s="95"/>
      <c r="J18" s="95"/>
      <c r="K18" s="95"/>
      <c r="L18" s="95"/>
      <c r="M18" s="95"/>
      <c r="N18" s="95"/>
      <c r="O18" s="95"/>
      <c r="P18" s="95"/>
      <c r="Q18" s="99"/>
    </row>
    <row r="19" spans="1:17" ht="33" x14ac:dyDescent="0.4">
      <c r="A19" s="100"/>
      <c r="B19" s="95"/>
      <c r="C19" s="95"/>
      <c r="D19" s="95"/>
      <c r="E19" s="95"/>
      <c r="F19" s="95" t="s">
        <v>46</v>
      </c>
      <c r="G19" s="95" t="s">
        <v>71</v>
      </c>
      <c r="H19" s="95"/>
      <c r="I19" s="95"/>
      <c r="J19" s="95"/>
      <c r="K19" s="95"/>
      <c r="L19" s="95"/>
      <c r="M19" s="95"/>
      <c r="N19" s="95"/>
      <c r="O19" s="95"/>
      <c r="P19" s="95"/>
      <c r="Q19" s="99"/>
    </row>
    <row r="20" spans="1:17" ht="33" x14ac:dyDescent="0.4">
      <c r="A20" s="100"/>
      <c r="B20" s="95"/>
      <c r="C20" s="95"/>
      <c r="D20" s="95"/>
      <c r="E20" s="95"/>
      <c r="F20" s="95" t="s">
        <v>47</v>
      </c>
      <c r="G20" s="95" t="s">
        <v>72</v>
      </c>
      <c r="H20" s="95"/>
      <c r="I20" s="95"/>
      <c r="J20" s="95"/>
      <c r="K20" s="95"/>
      <c r="L20" s="95"/>
      <c r="M20" s="95"/>
      <c r="N20" s="95"/>
      <c r="O20" s="95"/>
      <c r="P20" s="95"/>
      <c r="Q20" s="99"/>
    </row>
    <row r="21" spans="1:17" ht="33" x14ac:dyDescent="0.4">
      <c r="A21" s="100"/>
      <c r="B21" s="95"/>
      <c r="C21" s="95"/>
      <c r="D21" s="95"/>
      <c r="E21" s="95"/>
      <c r="F21" s="95" t="s">
        <v>48</v>
      </c>
      <c r="G21" s="95" t="s">
        <v>73</v>
      </c>
      <c r="H21" s="95"/>
      <c r="I21" s="95"/>
      <c r="J21" s="95"/>
      <c r="K21" s="95"/>
      <c r="L21" s="95"/>
      <c r="M21" s="95"/>
      <c r="N21" s="95"/>
      <c r="O21" s="95"/>
      <c r="P21" s="95"/>
      <c r="Q21" s="99"/>
    </row>
    <row r="22" spans="1:17" ht="33" x14ac:dyDescent="0.4">
      <c r="A22" s="100"/>
      <c r="B22" s="95"/>
      <c r="C22" s="95"/>
      <c r="D22" s="95"/>
      <c r="E22" s="95"/>
      <c r="F22" s="95" t="s">
        <v>49</v>
      </c>
      <c r="G22" s="95" t="s">
        <v>74</v>
      </c>
      <c r="H22" s="95"/>
      <c r="I22" s="95"/>
      <c r="J22" s="95"/>
      <c r="K22" s="95"/>
      <c r="L22" s="95"/>
      <c r="M22" s="95"/>
      <c r="N22" s="95"/>
      <c r="O22" s="95"/>
      <c r="P22" s="95"/>
      <c r="Q22" s="99"/>
    </row>
    <row r="23" spans="1:17" ht="33" x14ac:dyDescent="0.4">
      <c r="A23" s="100"/>
      <c r="B23" s="95"/>
      <c r="C23" s="95"/>
      <c r="D23" s="95"/>
      <c r="E23" s="95"/>
      <c r="F23" s="95" t="s">
        <v>77</v>
      </c>
      <c r="G23" s="95" t="s">
        <v>78</v>
      </c>
      <c r="H23" s="95"/>
      <c r="I23" s="95"/>
      <c r="J23" s="95"/>
      <c r="K23" s="95"/>
      <c r="L23" s="95"/>
      <c r="M23" s="95"/>
      <c r="N23" s="95"/>
      <c r="O23" s="95"/>
      <c r="P23" s="95"/>
      <c r="Q23" s="99"/>
    </row>
    <row r="24" spans="1:17" ht="33" x14ac:dyDescent="0.4">
      <c r="A24" s="100"/>
      <c r="B24" s="95"/>
      <c r="C24" s="95"/>
      <c r="D24" s="95"/>
      <c r="E24" s="95"/>
      <c r="F24" s="95" t="s">
        <v>80</v>
      </c>
      <c r="G24" s="95" t="s">
        <v>81</v>
      </c>
      <c r="H24" s="95"/>
      <c r="I24" s="95"/>
      <c r="J24" s="95"/>
      <c r="K24" s="95"/>
      <c r="L24" s="95"/>
      <c r="M24" s="95"/>
      <c r="N24" s="95"/>
      <c r="O24" s="95"/>
      <c r="P24" s="95"/>
      <c r="Q24" s="99"/>
    </row>
    <row r="25" spans="1:17" ht="33" x14ac:dyDescent="0.4">
      <c r="A25" s="100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9"/>
    </row>
    <row r="26" spans="1:17" ht="33" x14ac:dyDescent="0.4">
      <c r="A26" s="100"/>
      <c r="B26" s="95"/>
      <c r="C26" s="95"/>
      <c r="D26" s="101" t="s">
        <v>65</v>
      </c>
      <c r="E26" s="97" t="s">
        <v>98</v>
      </c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9"/>
    </row>
    <row r="27" spans="1:17" ht="33" x14ac:dyDescent="0.4">
      <c r="A27" s="100"/>
      <c r="B27" s="95"/>
      <c r="C27" s="95"/>
      <c r="D27" s="95"/>
      <c r="E27" s="103" t="s">
        <v>67</v>
      </c>
      <c r="F27" s="95" t="s">
        <v>66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9"/>
    </row>
    <row r="28" spans="1:17" ht="33" x14ac:dyDescent="0.4">
      <c r="A28" s="100"/>
      <c r="B28" s="95"/>
      <c r="C28" s="95"/>
      <c r="D28" s="95"/>
      <c r="E28" s="104"/>
      <c r="F28" s="95" t="s">
        <v>45</v>
      </c>
      <c r="G28" s="95" t="s">
        <v>79</v>
      </c>
      <c r="I28" s="95"/>
      <c r="J28" s="95"/>
      <c r="K28" s="95"/>
      <c r="L28" s="95"/>
      <c r="M28" s="95"/>
      <c r="N28" s="95"/>
      <c r="O28" s="95"/>
      <c r="P28" s="95"/>
      <c r="Q28" s="99"/>
    </row>
    <row r="29" spans="1:17" ht="33" x14ac:dyDescent="0.4">
      <c r="A29" s="100"/>
      <c r="B29" s="95"/>
      <c r="C29" s="95"/>
      <c r="D29" s="95"/>
      <c r="E29" s="104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9"/>
    </row>
    <row r="30" spans="1:17" ht="33" x14ac:dyDescent="0.4">
      <c r="A30" s="100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9"/>
    </row>
    <row r="31" spans="1:17" ht="33" x14ac:dyDescent="0.4">
      <c r="A31" s="100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9"/>
    </row>
    <row r="32" spans="1:17" ht="33" x14ac:dyDescent="0.4">
      <c r="A32" s="100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9"/>
    </row>
    <row r="33" spans="1:17" ht="33" x14ac:dyDescent="0.4">
      <c r="A33" s="100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9"/>
    </row>
    <row r="34" spans="1:17" ht="33" x14ac:dyDescent="0.4">
      <c r="A34" s="100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9"/>
    </row>
    <row r="35" spans="1:17" ht="33" x14ac:dyDescent="0.4">
      <c r="A35" s="100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9"/>
    </row>
    <row r="36" spans="1:17" ht="33" x14ac:dyDescent="0.4">
      <c r="A36" s="100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9"/>
    </row>
    <row r="37" spans="1:17" ht="33" x14ac:dyDescent="0.4">
      <c r="A37" s="100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9"/>
    </row>
    <row r="38" spans="1:17" ht="33" x14ac:dyDescent="0.4">
      <c r="A38" s="100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9"/>
    </row>
    <row r="39" spans="1:17" ht="33" x14ac:dyDescent="0.4">
      <c r="A39" s="100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9"/>
    </row>
    <row r="40" spans="1:17" ht="33" x14ac:dyDescent="0.4">
      <c r="A40" s="100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9"/>
    </row>
    <row r="41" spans="1:17" ht="33" x14ac:dyDescent="0.4">
      <c r="A41" s="100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9"/>
    </row>
    <row r="42" spans="1:17" x14ac:dyDescent="0.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</row>
    <row r="43" spans="1:17" ht="17" thickBot="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</row>
    <row r="57" spans="4:13" ht="24" x14ac:dyDescent="0.3">
      <c r="D57" s="62"/>
      <c r="E57" s="62"/>
      <c r="F57" s="62"/>
    </row>
    <row r="58" spans="4:13" ht="24" x14ac:dyDescent="0.3">
      <c r="D58" s="62"/>
      <c r="E58" s="62"/>
      <c r="F58" s="62"/>
    </row>
    <row r="59" spans="4:13" ht="24" x14ac:dyDescent="0.3">
      <c r="D59" s="62"/>
      <c r="E59" s="62"/>
      <c r="F59" s="62"/>
    </row>
    <row r="60" spans="4:13" ht="24" x14ac:dyDescent="0.3">
      <c r="D60" s="62"/>
      <c r="E60" s="62"/>
      <c r="F60" s="62"/>
    </row>
    <row r="61" spans="4:13" ht="24" x14ac:dyDescent="0.3">
      <c r="D61" s="62"/>
      <c r="E61" s="62"/>
      <c r="F61" s="62"/>
    </row>
    <row r="62" spans="4:13" ht="24" x14ac:dyDescent="0.3">
      <c r="D62" s="62"/>
      <c r="E62" s="62"/>
      <c r="F62" s="62"/>
    </row>
    <row r="63" spans="4:13" ht="21" x14ac:dyDescent="0.25">
      <c r="K63" s="61"/>
      <c r="L63" s="61"/>
      <c r="M63" s="61"/>
    </row>
    <row r="64" spans="4:13" ht="21" x14ac:dyDescent="0.25">
      <c r="K64" s="61"/>
      <c r="L64" s="61"/>
      <c r="M64" s="61"/>
    </row>
  </sheetData>
  <mergeCells count="4">
    <mergeCell ref="A1:B2"/>
    <mergeCell ref="C1:N2"/>
    <mergeCell ref="P1:Q1"/>
    <mergeCell ref="P2:Q2"/>
  </mergeCells>
  <printOptions horizontalCentered="1"/>
  <pageMargins left="0.25" right="0.25" top="0.75" bottom="0.75" header="0.3" footer="0.3"/>
  <pageSetup paperSize="9" scale="4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9F5A-DF39-F541-B8C2-02BEDD153576}">
  <sheetPr>
    <pageSetUpPr fitToPage="1"/>
  </sheetPr>
  <dimension ref="A1:Q106"/>
  <sheetViews>
    <sheetView showGridLines="0" view="pageBreakPreview" zoomScaleNormal="140" zoomScaleSheetLayoutView="100" workbookViewId="0">
      <selection activeCell="P26" sqref="P26"/>
    </sheetView>
  </sheetViews>
  <sheetFormatPr baseColWidth="10" defaultRowHeight="16" x14ac:dyDescent="0.2"/>
  <cols>
    <col min="1" max="1" width="8.1640625" customWidth="1"/>
    <col min="2" max="2" width="5.5" customWidth="1"/>
    <col min="3" max="3" width="10.5" customWidth="1"/>
    <col min="4" max="4" width="12.1640625" customWidth="1"/>
    <col min="5" max="5" width="35" bestFit="1" customWidth="1"/>
    <col min="6" max="6" width="15.83203125" bestFit="1" customWidth="1"/>
    <col min="7" max="7" width="15.6640625" bestFit="1" customWidth="1"/>
    <col min="8" max="8" width="16.6640625" customWidth="1"/>
    <col min="10" max="10" width="14.6640625" customWidth="1"/>
    <col min="11" max="11" width="13.6640625" bestFit="1" customWidth="1"/>
    <col min="13" max="13" width="15.1640625" customWidth="1"/>
  </cols>
  <sheetData>
    <row r="1" spans="1:17" ht="43" customHeight="1" x14ac:dyDescent="0.25">
      <c r="A1" s="301" t="s">
        <v>41</v>
      </c>
      <c r="B1" s="302"/>
      <c r="C1" s="305" t="str">
        <f>Cover!A31</f>
        <v>Food_Lab</v>
      </c>
      <c r="D1" s="306"/>
      <c r="E1" s="306"/>
      <c r="F1" s="306"/>
      <c r="G1" s="306"/>
      <c r="H1" s="306"/>
      <c r="I1" s="306"/>
      <c r="J1" s="306"/>
      <c r="K1" s="306"/>
      <c r="L1" s="306"/>
      <c r="M1" s="19" t="s">
        <v>21</v>
      </c>
      <c r="N1" s="311">
        <v>44555</v>
      </c>
      <c r="O1" s="312"/>
      <c r="P1" s="61"/>
      <c r="Q1" s="61"/>
    </row>
    <row r="2" spans="1:17" ht="43" customHeight="1" thickBot="1" x14ac:dyDescent="0.3">
      <c r="A2" s="303"/>
      <c r="B2" s="304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20" t="s">
        <v>20</v>
      </c>
      <c r="N2" s="313">
        <f ca="1">NOW()</f>
        <v>44662.727361805555</v>
      </c>
      <c r="O2" s="314"/>
      <c r="P2" s="61"/>
      <c r="Q2" s="61"/>
    </row>
    <row r="3" spans="1:17" ht="22" thickBot="1" x14ac:dyDescent="0.3">
      <c r="A3" s="1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43"/>
    </row>
    <row r="4" spans="1:17" ht="21" x14ac:dyDescent="0.25">
      <c r="A4" s="9"/>
      <c r="B4" s="3"/>
      <c r="C4" s="36" t="s">
        <v>0</v>
      </c>
      <c r="D4" s="80" t="s">
        <v>1</v>
      </c>
      <c r="E4" s="81" t="s">
        <v>2</v>
      </c>
      <c r="F4" s="81" t="s">
        <v>3</v>
      </c>
      <c r="G4" s="81" t="s">
        <v>4</v>
      </c>
      <c r="H4" s="81" t="s">
        <v>5</v>
      </c>
      <c r="I4" s="81" t="s">
        <v>6</v>
      </c>
      <c r="J4" s="81" t="s">
        <v>7</v>
      </c>
      <c r="K4" s="81" t="s">
        <v>8</v>
      </c>
      <c r="L4" s="82" t="s">
        <v>9</v>
      </c>
      <c r="M4" s="83" t="s">
        <v>10</v>
      </c>
      <c r="N4" s="84"/>
      <c r="O4" s="85"/>
      <c r="P4" s="86"/>
    </row>
    <row r="5" spans="1:17" ht="21" x14ac:dyDescent="0.25">
      <c r="A5" s="9"/>
      <c r="B5" s="3"/>
      <c r="C5" s="37">
        <v>1</v>
      </c>
      <c r="D5" s="87"/>
      <c r="E5" s="39" t="s">
        <v>12</v>
      </c>
      <c r="F5" s="39" t="s">
        <v>83</v>
      </c>
      <c r="G5" s="40">
        <v>44557</v>
      </c>
      <c r="H5" s="40">
        <v>44647</v>
      </c>
      <c r="I5" s="46">
        <f>H5-G5</f>
        <v>90</v>
      </c>
      <c r="J5" s="40">
        <v>44556</v>
      </c>
      <c r="K5" s="40"/>
      <c r="L5" s="41">
        <f>K5-J5</f>
        <v>-44556</v>
      </c>
      <c r="M5" s="42">
        <v>0</v>
      </c>
      <c r="N5" s="84"/>
      <c r="O5" s="85"/>
      <c r="P5" s="86"/>
    </row>
    <row r="6" spans="1:17" ht="21" x14ac:dyDescent="0.25">
      <c r="A6" s="9"/>
      <c r="B6" s="3"/>
      <c r="C6" s="208">
        <v>2</v>
      </c>
      <c r="D6" s="209"/>
      <c r="E6" s="210" t="s">
        <v>13</v>
      </c>
      <c r="F6" s="210" t="s">
        <v>84</v>
      </c>
      <c r="G6" s="211">
        <v>44557</v>
      </c>
      <c r="H6" s="211">
        <v>44564</v>
      </c>
      <c r="I6" s="210">
        <f t="shared" ref="I6:I30" si="0">H6-G6</f>
        <v>7</v>
      </c>
      <c r="J6" s="211">
        <v>44556</v>
      </c>
      <c r="K6" s="211">
        <v>44564</v>
      </c>
      <c r="L6" s="212">
        <f t="shared" ref="L6:L28" si="1">K6-J6</f>
        <v>8</v>
      </c>
      <c r="M6" s="213">
        <v>1</v>
      </c>
      <c r="N6" s="84"/>
      <c r="O6" s="85"/>
      <c r="P6" s="86"/>
    </row>
    <row r="7" spans="1:17" ht="21" x14ac:dyDescent="0.25">
      <c r="A7" s="9"/>
      <c r="B7" s="3"/>
      <c r="C7" s="208">
        <v>3</v>
      </c>
      <c r="D7" s="209"/>
      <c r="E7" s="210" t="s">
        <v>14</v>
      </c>
      <c r="F7" s="210" t="s">
        <v>104</v>
      </c>
      <c r="G7" s="211">
        <v>44564</v>
      </c>
      <c r="H7" s="211">
        <v>44571</v>
      </c>
      <c r="I7" s="210">
        <f t="shared" si="0"/>
        <v>7</v>
      </c>
      <c r="J7" s="211">
        <v>44557</v>
      </c>
      <c r="K7" s="211">
        <v>44570</v>
      </c>
      <c r="L7" s="212">
        <f t="shared" si="1"/>
        <v>13</v>
      </c>
      <c r="M7" s="213">
        <v>1</v>
      </c>
      <c r="N7" s="84"/>
      <c r="O7" s="85"/>
      <c r="P7" s="86"/>
    </row>
    <row r="8" spans="1:17" ht="21" x14ac:dyDescent="0.25">
      <c r="A8" s="9"/>
      <c r="B8" s="3"/>
      <c r="C8" s="208">
        <v>4</v>
      </c>
      <c r="D8" s="209"/>
      <c r="E8" s="210" t="s">
        <v>15</v>
      </c>
      <c r="F8" s="210" t="s">
        <v>84</v>
      </c>
      <c r="G8" s="211">
        <v>44566</v>
      </c>
      <c r="H8" s="211">
        <v>44571</v>
      </c>
      <c r="I8" s="210">
        <f t="shared" si="0"/>
        <v>5</v>
      </c>
      <c r="J8" s="211">
        <v>44566</v>
      </c>
      <c r="K8" s="211">
        <v>44570</v>
      </c>
      <c r="L8" s="212">
        <f t="shared" si="1"/>
        <v>4</v>
      </c>
      <c r="M8" s="213">
        <v>1</v>
      </c>
      <c r="N8" s="84"/>
      <c r="O8" s="85"/>
      <c r="P8" s="86"/>
    </row>
    <row r="9" spans="1:17" ht="22" thickBot="1" x14ac:dyDescent="0.3">
      <c r="A9" s="9"/>
      <c r="B9" s="3"/>
      <c r="C9" s="47">
        <v>5</v>
      </c>
      <c r="D9" s="48"/>
      <c r="E9" s="49" t="s">
        <v>16</v>
      </c>
      <c r="F9" s="49" t="s">
        <v>83</v>
      </c>
      <c r="G9" s="50">
        <v>44571</v>
      </c>
      <c r="H9" s="50">
        <v>44602</v>
      </c>
      <c r="I9" s="49">
        <f t="shared" si="0"/>
        <v>31</v>
      </c>
      <c r="J9" s="50">
        <v>44571</v>
      </c>
      <c r="K9" s="50"/>
      <c r="L9" s="124">
        <f t="shared" si="1"/>
        <v>-44571</v>
      </c>
      <c r="M9" s="51">
        <f>SUM(M10:M23)/14</f>
        <v>0.76785714285714302</v>
      </c>
      <c r="N9" s="5"/>
      <c r="O9" s="43"/>
    </row>
    <row r="10" spans="1:17" ht="21" x14ac:dyDescent="0.25">
      <c r="A10" s="9"/>
      <c r="B10" s="3"/>
      <c r="C10" s="126"/>
      <c r="D10" s="127">
        <v>1</v>
      </c>
      <c r="E10" s="128" t="s">
        <v>105</v>
      </c>
      <c r="F10" s="128" t="s">
        <v>115</v>
      </c>
      <c r="G10" s="129">
        <v>44571</v>
      </c>
      <c r="H10" s="129">
        <v>44575</v>
      </c>
      <c r="I10" s="128">
        <f t="shared" si="0"/>
        <v>4</v>
      </c>
      <c r="J10" s="129">
        <v>44571</v>
      </c>
      <c r="K10" s="129"/>
      <c r="L10" s="130">
        <f t="shared" si="1"/>
        <v>-44571</v>
      </c>
      <c r="M10" s="131">
        <v>0.8</v>
      </c>
      <c r="N10" s="5"/>
      <c r="O10" s="43"/>
    </row>
    <row r="11" spans="1:17" ht="21" x14ac:dyDescent="0.25">
      <c r="A11" s="9"/>
      <c r="B11" s="3"/>
      <c r="C11" s="37"/>
      <c r="D11" s="119">
        <v>2</v>
      </c>
      <c r="E11" s="120" t="s">
        <v>106</v>
      </c>
      <c r="F11" s="120" t="s">
        <v>120</v>
      </c>
      <c r="G11" s="121">
        <v>44577</v>
      </c>
      <c r="H11" s="121">
        <v>44591</v>
      </c>
      <c r="I11" s="120">
        <f t="shared" si="0"/>
        <v>14</v>
      </c>
      <c r="J11" s="121">
        <v>44579</v>
      </c>
      <c r="K11" s="121"/>
      <c r="L11" s="122">
        <f t="shared" si="1"/>
        <v>-44579</v>
      </c>
      <c r="M11" s="123">
        <v>0.4</v>
      </c>
      <c r="N11" s="5"/>
      <c r="O11" s="43"/>
    </row>
    <row r="12" spans="1:17" ht="21" x14ac:dyDescent="0.25">
      <c r="A12" s="9"/>
      <c r="B12" s="3"/>
      <c r="C12" s="37"/>
      <c r="D12" s="119">
        <v>3</v>
      </c>
      <c r="E12" s="120" t="s">
        <v>71</v>
      </c>
      <c r="F12" s="120" t="s">
        <v>117</v>
      </c>
      <c r="G12" s="121">
        <v>44581</v>
      </c>
      <c r="H12" s="121">
        <v>44591</v>
      </c>
      <c r="I12" s="120">
        <f t="shared" si="0"/>
        <v>10</v>
      </c>
      <c r="J12" s="121">
        <v>44581</v>
      </c>
      <c r="K12" s="121"/>
      <c r="L12" s="122">
        <f t="shared" si="1"/>
        <v>-44581</v>
      </c>
      <c r="M12" s="123">
        <v>0.8</v>
      </c>
      <c r="N12" s="5"/>
      <c r="O12" s="43"/>
    </row>
    <row r="13" spans="1:17" ht="21" x14ac:dyDescent="0.25">
      <c r="A13" s="9"/>
      <c r="B13" s="3"/>
      <c r="C13" s="37"/>
      <c r="D13" s="119">
        <v>4</v>
      </c>
      <c r="E13" s="120" t="s">
        <v>109</v>
      </c>
      <c r="F13" s="120" t="s">
        <v>115</v>
      </c>
      <c r="G13" s="121">
        <v>44575</v>
      </c>
      <c r="H13" s="121">
        <v>44580</v>
      </c>
      <c r="I13" s="120">
        <f t="shared" si="0"/>
        <v>5</v>
      </c>
      <c r="J13" s="121">
        <v>44575</v>
      </c>
      <c r="K13" s="121"/>
      <c r="L13" s="122">
        <f t="shared" si="1"/>
        <v>-44575</v>
      </c>
      <c r="M13" s="123">
        <v>0.85</v>
      </c>
      <c r="N13" s="5"/>
      <c r="O13" s="43"/>
    </row>
    <row r="14" spans="1:17" ht="21" x14ac:dyDescent="0.25">
      <c r="A14" s="9"/>
      <c r="B14" s="3"/>
      <c r="C14" s="37"/>
      <c r="D14" s="119">
        <v>5</v>
      </c>
      <c r="E14" s="120" t="s">
        <v>107</v>
      </c>
      <c r="F14" s="120" t="s">
        <v>118</v>
      </c>
      <c r="G14" s="121">
        <v>44571</v>
      </c>
      <c r="H14" s="121">
        <v>44576</v>
      </c>
      <c r="I14" s="120">
        <f t="shared" si="0"/>
        <v>5</v>
      </c>
      <c r="J14" s="121">
        <v>44584</v>
      </c>
      <c r="K14" s="121"/>
      <c r="L14" s="122">
        <f t="shared" si="1"/>
        <v>-44584</v>
      </c>
      <c r="M14" s="123">
        <v>0.8</v>
      </c>
      <c r="N14" s="5"/>
      <c r="O14" s="43"/>
    </row>
    <row r="15" spans="1:17" ht="22" thickBot="1" x14ac:dyDescent="0.3">
      <c r="A15" s="9"/>
      <c r="B15" s="3"/>
      <c r="C15" s="132"/>
      <c r="D15" s="133">
        <v>6</v>
      </c>
      <c r="E15" s="134" t="s">
        <v>108</v>
      </c>
      <c r="F15" s="134" t="s">
        <v>118</v>
      </c>
      <c r="G15" s="135">
        <v>44576</v>
      </c>
      <c r="H15" s="135">
        <v>44582</v>
      </c>
      <c r="I15" s="134">
        <f t="shared" si="0"/>
        <v>6</v>
      </c>
      <c r="J15" s="135">
        <v>44579</v>
      </c>
      <c r="K15" s="135"/>
      <c r="L15" s="136">
        <f t="shared" si="1"/>
        <v>-44579</v>
      </c>
      <c r="M15" s="137">
        <v>0.7</v>
      </c>
      <c r="N15" s="5"/>
      <c r="O15" s="43"/>
    </row>
    <row r="16" spans="1:17" ht="21" x14ac:dyDescent="0.25">
      <c r="A16" s="9"/>
      <c r="B16" s="3"/>
      <c r="C16" s="126"/>
      <c r="D16" s="143">
        <v>1</v>
      </c>
      <c r="E16" s="144" t="s">
        <v>109</v>
      </c>
      <c r="F16" s="144" t="s">
        <v>115</v>
      </c>
      <c r="G16" s="145">
        <v>44580</v>
      </c>
      <c r="H16" s="145">
        <v>44585</v>
      </c>
      <c r="I16" s="144">
        <f t="shared" ref="I16:I25" si="2">H16-G16</f>
        <v>5</v>
      </c>
      <c r="J16" s="145">
        <v>44585</v>
      </c>
      <c r="K16" s="145"/>
      <c r="L16" s="146">
        <f t="shared" ref="L16:L25" si="3">K16-J16</f>
        <v>-44585</v>
      </c>
      <c r="M16" s="147">
        <v>0.8</v>
      </c>
      <c r="N16" s="5"/>
      <c r="O16" s="43"/>
    </row>
    <row r="17" spans="1:15" ht="21" x14ac:dyDescent="0.25">
      <c r="A17" s="9"/>
      <c r="B17" s="3"/>
      <c r="C17" s="37"/>
      <c r="D17" s="138">
        <v>2</v>
      </c>
      <c r="E17" s="139" t="s">
        <v>82</v>
      </c>
      <c r="F17" s="139" t="s">
        <v>119</v>
      </c>
      <c r="G17" s="140">
        <v>44571</v>
      </c>
      <c r="H17" s="140">
        <v>44574</v>
      </c>
      <c r="I17" s="139">
        <f t="shared" si="2"/>
        <v>3</v>
      </c>
      <c r="J17" s="140">
        <v>44571</v>
      </c>
      <c r="K17" s="140"/>
      <c r="L17" s="141">
        <f t="shared" si="3"/>
        <v>-44571</v>
      </c>
      <c r="M17" s="142">
        <v>0.8</v>
      </c>
      <c r="N17" s="5"/>
      <c r="O17" s="43"/>
    </row>
    <row r="18" spans="1:15" ht="21" x14ac:dyDescent="0.25">
      <c r="A18" s="9"/>
      <c r="B18" s="3"/>
      <c r="C18" s="37"/>
      <c r="D18" s="138">
        <v>3</v>
      </c>
      <c r="E18" s="139" t="s">
        <v>110</v>
      </c>
      <c r="F18" s="139" t="s">
        <v>119</v>
      </c>
      <c r="G18" s="140">
        <v>44574</v>
      </c>
      <c r="H18" s="140">
        <v>44580</v>
      </c>
      <c r="I18" s="139">
        <f t="shared" si="2"/>
        <v>6</v>
      </c>
      <c r="J18" s="140">
        <v>44571</v>
      </c>
      <c r="K18" s="140"/>
      <c r="L18" s="141">
        <f t="shared" si="3"/>
        <v>-44571</v>
      </c>
      <c r="M18" s="142">
        <v>0.8</v>
      </c>
      <c r="N18" s="5"/>
      <c r="O18" s="43"/>
    </row>
    <row r="19" spans="1:15" ht="21" x14ac:dyDescent="0.25">
      <c r="A19" s="9"/>
      <c r="B19" s="3"/>
      <c r="C19" s="37"/>
      <c r="D19" s="138">
        <v>4</v>
      </c>
      <c r="E19" s="139" t="s">
        <v>111</v>
      </c>
      <c r="F19" s="139" t="s">
        <v>84</v>
      </c>
      <c r="G19" s="140">
        <v>44581</v>
      </c>
      <c r="H19" s="140">
        <v>44591</v>
      </c>
      <c r="I19" s="139">
        <f t="shared" si="2"/>
        <v>10</v>
      </c>
      <c r="J19" s="140">
        <v>44578</v>
      </c>
      <c r="K19" s="140">
        <v>44579</v>
      </c>
      <c r="L19" s="141">
        <f t="shared" si="3"/>
        <v>1</v>
      </c>
      <c r="M19" s="142">
        <v>0.8</v>
      </c>
      <c r="N19" s="5"/>
      <c r="O19" s="43"/>
    </row>
    <row r="20" spans="1:15" ht="21" x14ac:dyDescent="0.25">
      <c r="A20" s="9"/>
      <c r="B20" s="3"/>
      <c r="C20" s="37"/>
      <c r="D20" s="138">
        <v>5</v>
      </c>
      <c r="E20" s="139" t="s">
        <v>101</v>
      </c>
      <c r="F20" s="139" t="s">
        <v>119</v>
      </c>
      <c r="G20" s="140">
        <v>44580</v>
      </c>
      <c r="H20" s="140">
        <v>44585</v>
      </c>
      <c r="I20" s="139">
        <f t="shared" si="2"/>
        <v>5</v>
      </c>
      <c r="J20" s="140">
        <v>44571</v>
      </c>
      <c r="K20" s="140"/>
      <c r="L20" s="141">
        <f t="shared" si="3"/>
        <v>-44571</v>
      </c>
      <c r="M20" s="142">
        <v>0.8</v>
      </c>
      <c r="N20" s="5"/>
      <c r="O20" s="43"/>
    </row>
    <row r="21" spans="1:15" ht="21" x14ac:dyDescent="0.25">
      <c r="A21" s="9"/>
      <c r="B21" s="3"/>
      <c r="C21" s="37"/>
      <c r="D21" s="138">
        <v>6</v>
      </c>
      <c r="E21" s="139" t="s">
        <v>112</v>
      </c>
      <c r="F21" s="139" t="s">
        <v>116</v>
      </c>
      <c r="G21" s="140">
        <v>44571</v>
      </c>
      <c r="H21" s="140">
        <v>44577</v>
      </c>
      <c r="I21" s="139">
        <f t="shared" si="2"/>
        <v>6</v>
      </c>
      <c r="J21" s="140">
        <v>44571</v>
      </c>
      <c r="K21" s="140"/>
      <c r="L21" s="141">
        <f t="shared" si="3"/>
        <v>-44571</v>
      </c>
      <c r="M21" s="142">
        <v>0.8</v>
      </c>
      <c r="N21" s="5"/>
      <c r="O21" s="43"/>
    </row>
    <row r="22" spans="1:15" ht="21" x14ac:dyDescent="0.25">
      <c r="A22" s="9"/>
      <c r="B22" s="3"/>
      <c r="C22" s="37"/>
      <c r="D22" s="138">
        <v>7</v>
      </c>
      <c r="E22" s="139" t="s">
        <v>106</v>
      </c>
      <c r="F22" s="139" t="s">
        <v>114</v>
      </c>
      <c r="G22" s="140">
        <v>44571</v>
      </c>
      <c r="H22" s="140">
        <v>44581</v>
      </c>
      <c r="I22" s="139">
        <f t="shared" si="2"/>
        <v>10</v>
      </c>
      <c r="J22" s="140">
        <v>44576</v>
      </c>
      <c r="K22" s="140"/>
      <c r="L22" s="141">
        <f t="shared" si="3"/>
        <v>-44576</v>
      </c>
      <c r="M22" s="142">
        <v>0.8</v>
      </c>
      <c r="N22" s="5"/>
      <c r="O22" s="43"/>
    </row>
    <row r="23" spans="1:15" ht="22" thickBot="1" x14ac:dyDescent="0.3">
      <c r="A23" s="9"/>
      <c r="B23" s="3"/>
      <c r="C23" s="132"/>
      <c r="D23" s="148">
        <v>8</v>
      </c>
      <c r="E23" s="149" t="s">
        <v>113</v>
      </c>
      <c r="F23" s="149" t="s">
        <v>118</v>
      </c>
      <c r="G23" s="150">
        <v>44582</v>
      </c>
      <c r="H23" s="150">
        <v>44587</v>
      </c>
      <c r="I23" s="149">
        <f t="shared" si="2"/>
        <v>5</v>
      </c>
      <c r="J23" s="150">
        <v>44571</v>
      </c>
      <c r="K23" s="150"/>
      <c r="L23" s="151">
        <f t="shared" si="3"/>
        <v>-44571</v>
      </c>
      <c r="M23" s="152">
        <v>0.8</v>
      </c>
      <c r="N23" s="5"/>
      <c r="O23" s="43"/>
    </row>
    <row r="24" spans="1:15" ht="21" x14ac:dyDescent="0.25">
      <c r="A24" s="9"/>
      <c r="B24" s="3"/>
      <c r="C24" s="126"/>
      <c r="D24" s="158">
        <v>1</v>
      </c>
      <c r="E24" s="159" t="s">
        <v>109</v>
      </c>
      <c r="F24" s="159" t="s">
        <v>84</v>
      </c>
      <c r="G24" s="160"/>
      <c r="H24" s="160"/>
      <c r="I24" s="159">
        <f t="shared" si="2"/>
        <v>0</v>
      </c>
      <c r="J24" s="160"/>
      <c r="K24" s="160"/>
      <c r="L24" s="161">
        <f t="shared" si="3"/>
        <v>0</v>
      </c>
      <c r="M24" s="162">
        <v>0</v>
      </c>
      <c r="N24" s="5"/>
      <c r="O24" s="43"/>
    </row>
    <row r="25" spans="1:15" ht="22" thickBot="1" x14ac:dyDescent="0.3">
      <c r="A25" s="9"/>
      <c r="B25" s="3"/>
      <c r="C25" s="132"/>
      <c r="D25" s="163">
        <v>2</v>
      </c>
      <c r="E25" s="164" t="s">
        <v>102</v>
      </c>
      <c r="F25" s="164" t="s">
        <v>84</v>
      </c>
      <c r="G25" s="165"/>
      <c r="H25" s="165"/>
      <c r="I25" s="164">
        <f t="shared" si="2"/>
        <v>0</v>
      </c>
      <c r="J25" s="165"/>
      <c r="K25" s="165"/>
      <c r="L25" s="166">
        <f t="shared" si="3"/>
        <v>0</v>
      </c>
      <c r="M25" s="167">
        <v>0</v>
      </c>
      <c r="N25" s="5"/>
      <c r="O25" s="43"/>
    </row>
    <row r="26" spans="1:15" ht="21" x14ac:dyDescent="0.25">
      <c r="A26" s="9"/>
      <c r="B26" s="3"/>
      <c r="C26" s="125">
        <v>6</v>
      </c>
      <c r="D26" s="153"/>
      <c r="E26" s="154" t="s">
        <v>17</v>
      </c>
      <c r="F26" s="154"/>
      <c r="G26" s="155">
        <v>44602</v>
      </c>
      <c r="H26" s="155">
        <v>44612</v>
      </c>
      <c r="I26" s="154">
        <f t="shared" si="0"/>
        <v>10</v>
      </c>
      <c r="J26" s="155"/>
      <c r="K26" s="155"/>
      <c r="L26" s="156">
        <f t="shared" si="1"/>
        <v>0</v>
      </c>
      <c r="M26" s="157">
        <v>0</v>
      </c>
      <c r="N26" s="5"/>
      <c r="O26" s="43"/>
    </row>
    <row r="27" spans="1:15" ht="21" x14ac:dyDescent="0.25">
      <c r="A27" s="9"/>
      <c r="B27" s="3"/>
      <c r="C27" s="37">
        <v>7</v>
      </c>
      <c r="D27" s="38"/>
      <c r="E27" s="39" t="s">
        <v>18</v>
      </c>
      <c r="F27" s="39"/>
      <c r="G27" s="40">
        <v>44612</v>
      </c>
      <c r="H27" s="40">
        <v>44617</v>
      </c>
      <c r="I27" s="39">
        <f t="shared" si="0"/>
        <v>5</v>
      </c>
      <c r="J27" s="40"/>
      <c r="K27" s="40"/>
      <c r="L27" s="41">
        <f t="shared" si="1"/>
        <v>0</v>
      </c>
      <c r="M27" s="42">
        <v>0</v>
      </c>
      <c r="N27" s="5"/>
      <c r="O27" s="43"/>
    </row>
    <row r="28" spans="1:15" ht="21" x14ac:dyDescent="0.25">
      <c r="A28" s="9"/>
      <c r="B28" s="3"/>
      <c r="C28" s="47">
        <v>8</v>
      </c>
      <c r="D28" s="48"/>
      <c r="E28" s="49" t="s">
        <v>85</v>
      </c>
      <c r="F28" s="49"/>
      <c r="G28" s="40">
        <v>44617</v>
      </c>
      <c r="H28" s="40">
        <v>44623</v>
      </c>
      <c r="I28" s="39">
        <f t="shared" si="0"/>
        <v>6</v>
      </c>
      <c r="J28" s="50"/>
      <c r="K28" s="50"/>
      <c r="L28" s="41">
        <f t="shared" si="1"/>
        <v>0</v>
      </c>
      <c r="M28" s="42">
        <v>0</v>
      </c>
      <c r="N28" s="5"/>
      <c r="O28" s="43"/>
    </row>
    <row r="29" spans="1:15" ht="21" x14ac:dyDescent="0.25">
      <c r="A29" s="9"/>
      <c r="B29" s="3"/>
      <c r="C29" s="47">
        <v>9</v>
      </c>
      <c r="D29" s="48"/>
      <c r="E29" s="49" t="s">
        <v>86</v>
      </c>
      <c r="F29" s="49"/>
      <c r="G29" s="40">
        <v>44623</v>
      </c>
      <c r="H29" s="40">
        <v>44630</v>
      </c>
      <c r="I29" s="39">
        <f t="shared" si="0"/>
        <v>7</v>
      </c>
      <c r="J29" s="50"/>
      <c r="K29" s="50"/>
      <c r="L29" s="41">
        <f>K29-J29</f>
        <v>0</v>
      </c>
      <c r="M29" s="51">
        <v>0</v>
      </c>
      <c r="N29" s="5"/>
      <c r="O29" s="43"/>
    </row>
    <row r="30" spans="1:15" ht="22" thickBot="1" x14ac:dyDescent="0.3">
      <c r="A30" s="9"/>
      <c r="B30" s="3"/>
      <c r="C30" s="52">
        <v>10</v>
      </c>
      <c r="D30" s="53"/>
      <c r="E30" s="54" t="s">
        <v>87</v>
      </c>
      <c r="F30" s="54"/>
      <c r="G30" s="55">
        <v>44265</v>
      </c>
      <c r="H30" s="55">
        <v>44275</v>
      </c>
      <c r="I30" s="54">
        <f t="shared" si="0"/>
        <v>10</v>
      </c>
      <c r="J30" s="55"/>
      <c r="K30" s="55"/>
      <c r="L30" s="56">
        <f>K30-J30</f>
        <v>0</v>
      </c>
      <c r="M30" s="57">
        <v>0</v>
      </c>
      <c r="N30" s="5"/>
      <c r="O30" s="43"/>
    </row>
    <row r="31" spans="1:15" ht="21" x14ac:dyDescent="0.25">
      <c r="A31" s="9"/>
      <c r="B31" s="3"/>
      <c r="C31" s="5"/>
      <c r="D31" s="5"/>
      <c r="E31" s="5"/>
      <c r="F31" s="5"/>
      <c r="G31" s="63"/>
      <c r="H31" s="63"/>
      <c r="I31" s="5">
        <f>SUM(I6:I30)</f>
        <v>182</v>
      </c>
      <c r="J31" s="63"/>
      <c r="K31" s="63"/>
      <c r="L31" s="5"/>
      <c r="M31" s="5"/>
      <c r="N31" s="5"/>
      <c r="O31" s="43"/>
    </row>
    <row r="32" spans="1:15" ht="21" x14ac:dyDescent="0.25">
      <c r="A32" s="9"/>
      <c r="B32" s="3"/>
      <c r="C32" s="5"/>
      <c r="D32" s="5"/>
      <c r="E32" s="5"/>
      <c r="F32" s="5"/>
      <c r="G32" s="63"/>
      <c r="H32" s="63" t="s">
        <v>11</v>
      </c>
      <c r="I32" s="64">
        <f>I31/30</f>
        <v>6.0666666666666664</v>
      </c>
      <c r="J32" s="63"/>
      <c r="K32" s="63"/>
      <c r="L32" s="63"/>
      <c r="M32" s="5"/>
      <c r="N32" s="5"/>
      <c r="O32" s="43"/>
    </row>
    <row r="33" spans="1:15" ht="17" thickBot="1" x14ac:dyDescent="0.25">
      <c r="A33" s="11"/>
      <c r="B33" s="12"/>
      <c r="C33" s="12"/>
      <c r="D33" s="12"/>
      <c r="E33" s="65"/>
      <c r="F33" s="65"/>
      <c r="G33" s="12"/>
      <c r="H33" s="65"/>
      <c r="I33" s="65"/>
      <c r="J33" s="65"/>
      <c r="K33" s="12"/>
      <c r="L33" s="12"/>
      <c r="M33" s="12"/>
      <c r="N33" s="12"/>
      <c r="O33" s="13"/>
    </row>
    <row r="34" spans="1:15" x14ac:dyDescent="0.2">
      <c r="E34" s="1"/>
      <c r="F34" s="1"/>
      <c r="H34" s="1"/>
      <c r="I34" s="1"/>
      <c r="J34" s="1"/>
    </row>
    <row r="35" spans="1:15" x14ac:dyDescent="0.2">
      <c r="E35" s="1"/>
      <c r="F35" s="1"/>
      <c r="H35" s="1"/>
      <c r="I35" s="1"/>
      <c r="J35" s="1"/>
    </row>
    <row r="36" spans="1:15" x14ac:dyDescent="0.2">
      <c r="E36" s="1"/>
      <c r="F36" s="1"/>
      <c r="H36" s="1"/>
      <c r="I36" s="1"/>
      <c r="J36" s="1"/>
    </row>
    <row r="37" spans="1:15" x14ac:dyDescent="0.2">
      <c r="E37" s="1"/>
      <c r="F37" s="1"/>
      <c r="H37" s="1"/>
      <c r="I37" s="1"/>
      <c r="J37" s="1"/>
    </row>
    <row r="38" spans="1:15" x14ac:dyDescent="0.2">
      <c r="E38" s="1"/>
      <c r="F38" s="1"/>
      <c r="H38" s="1"/>
      <c r="I38" s="1"/>
      <c r="J38" s="1"/>
    </row>
    <row r="39" spans="1:15" x14ac:dyDescent="0.2">
      <c r="E39" s="1"/>
      <c r="F39" s="1"/>
      <c r="H39" s="1"/>
      <c r="I39" s="1"/>
      <c r="J39" s="1"/>
    </row>
    <row r="40" spans="1:15" x14ac:dyDescent="0.2">
      <c r="E40" s="1"/>
      <c r="F40" s="1"/>
      <c r="H40" s="1"/>
      <c r="I40" s="1"/>
      <c r="J40" s="1"/>
    </row>
    <row r="63" spans="4:6" ht="24" x14ac:dyDescent="0.3">
      <c r="D63" s="62"/>
      <c r="E63" s="62"/>
      <c r="F63" s="62"/>
    </row>
    <row r="64" spans="4:6" ht="24" x14ac:dyDescent="0.3">
      <c r="D64" s="62"/>
      <c r="E64" s="62"/>
      <c r="F64" s="62"/>
    </row>
    <row r="65" spans="4:13" ht="24" x14ac:dyDescent="0.3">
      <c r="D65" s="62"/>
      <c r="E65" s="62"/>
      <c r="F65" s="62"/>
    </row>
    <row r="66" spans="4:13" ht="24" x14ac:dyDescent="0.3">
      <c r="D66" s="62"/>
      <c r="E66" s="62"/>
      <c r="F66" s="62"/>
    </row>
    <row r="67" spans="4:13" ht="24" x14ac:dyDescent="0.3">
      <c r="D67" s="62"/>
      <c r="E67" s="62"/>
      <c r="F67" s="62"/>
    </row>
    <row r="68" spans="4:13" ht="24" x14ac:dyDescent="0.3">
      <c r="D68" s="62"/>
      <c r="E68" s="62"/>
      <c r="F68" s="62"/>
    </row>
    <row r="69" spans="4:13" ht="21" x14ac:dyDescent="0.25">
      <c r="K69" s="61"/>
      <c r="L69" s="61"/>
      <c r="M69" s="61"/>
    </row>
    <row r="70" spans="4:13" ht="21" x14ac:dyDescent="0.25">
      <c r="K70" s="61"/>
      <c r="L70" s="61"/>
      <c r="M70" s="61"/>
    </row>
    <row r="101" spans="3:4" x14ac:dyDescent="0.2">
      <c r="D101" t="s">
        <v>402</v>
      </c>
    </row>
    <row r="104" spans="3:4" x14ac:dyDescent="0.2">
      <c r="C104" t="s">
        <v>217</v>
      </c>
      <c r="D104" t="s">
        <v>218</v>
      </c>
    </row>
    <row r="105" spans="3:4" x14ac:dyDescent="0.2">
      <c r="C105" t="s">
        <v>403</v>
      </c>
      <c r="D105" t="s">
        <v>404</v>
      </c>
    </row>
    <row r="106" spans="3:4" x14ac:dyDescent="0.2">
      <c r="C106" t="s">
        <v>405</v>
      </c>
      <c r="D106" t="s">
        <v>406</v>
      </c>
    </row>
  </sheetData>
  <mergeCells count="4">
    <mergeCell ref="A1:B2"/>
    <mergeCell ref="C1:L2"/>
    <mergeCell ref="N1:O1"/>
    <mergeCell ref="N2:O2"/>
  </mergeCells>
  <printOptions horizontalCentered="1"/>
  <pageMargins left="0.25" right="0.25" top="0.75" bottom="0.75" header="0.3" footer="0.3"/>
  <pageSetup paperSize="9" scale="6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3B61-0E46-A84A-A372-524248523343}">
  <dimension ref="A1:AN12"/>
  <sheetViews>
    <sheetView showGridLines="0" view="pageBreakPreview" zoomScaleNormal="110" zoomScaleSheetLayoutView="100" workbookViewId="0">
      <selection activeCell="V29" sqref="V29"/>
    </sheetView>
  </sheetViews>
  <sheetFormatPr baseColWidth="10" defaultRowHeight="16" x14ac:dyDescent="0.2"/>
  <cols>
    <col min="3" max="3" width="14.33203125" customWidth="1"/>
    <col min="4" max="35" width="4.83203125" customWidth="1"/>
    <col min="36" max="36" width="15.5" bestFit="1" customWidth="1"/>
    <col min="37" max="38" width="9.5" customWidth="1"/>
  </cols>
  <sheetData>
    <row r="1" spans="1:40" ht="43" customHeight="1" x14ac:dyDescent="0.25">
      <c r="A1" s="301" t="s">
        <v>41</v>
      </c>
      <c r="B1" s="302"/>
      <c r="C1" s="305" t="str">
        <f>Cover!A31</f>
        <v>Food_Lab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19" t="s">
        <v>21</v>
      </c>
      <c r="AK1" s="311">
        <v>44555</v>
      </c>
      <c r="AL1" s="312"/>
      <c r="AM1" s="61"/>
      <c r="AN1" s="61"/>
    </row>
    <row r="2" spans="1:40" ht="43" customHeight="1" thickBot="1" x14ac:dyDescent="0.3">
      <c r="A2" s="303"/>
      <c r="B2" s="304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20" t="s">
        <v>20</v>
      </c>
      <c r="AK2" s="313">
        <f ca="1">NOW()</f>
        <v>44662.727361805555</v>
      </c>
      <c r="AL2" s="314"/>
      <c r="AM2" s="61"/>
      <c r="AN2" s="61"/>
    </row>
    <row r="5" spans="1:40" ht="27" thickBot="1" x14ac:dyDescent="0.35">
      <c r="B5" s="172" t="s">
        <v>0</v>
      </c>
      <c r="C5" s="172" t="s">
        <v>121</v>
      </c>
      <c r="D5" s="173">
        <v>10</v>
      </c>
      <c r="E5" s="173">
        <v>11</v>
      </c>
      <c r="F5" s="173">
        <v>12</v>
      </c>
      <c r="G5" s="173">
        <v>13</v>
      </c>
      <c r="H5" s="173">
        <v>14</v>
      </c>
      <c r="I5" s="173">
        <v>15</v>
      </c>
      <c r="J5" s="173">
        <v>16</v>
      </c>
      <c r="K5" s="173">
        <v>17</v>
      </c>
      <c r="L5" s="173">
        <v>18</v>
      </c>
      <c r="M5" s="173">
        <v>19</v>
      </c>
      <c r="N5" s="173">
        <v>20</v>
      </c>
      <c r="O5" s="173">
        <v>21</v>
      </c>
      <c r="P5" s="173">
        <v>22</v>
      </c>
      <c r="Q5" s="173">
        <v>23</v>
      </c>
      <c r="R5" s="173">
        <v>24</v>
      </c>
      <c r="S5" s="173">
        <v>25</v>
      </c>
      <c r="T5" s="173">
        <v>26</v>
      </c>
      <c r="U5" s="173">
        <v>27</v>
      </c>
      <c r="V5" s="173">
        <v>28</v>
      </c>
      <c r="W5" s="173">
        <v>29</v>
      </c>
      <c r="X5" s="173">
        <v>30</v>
      </c>
      <c r="Y5" s="174">
        <v>31</v>
      </c>
      <c r="Z5" s="194">
        <v>1</v>
      </c>
      <c r="AA5" s="194">
        <v>2</v>
      </c>
      <c r="AB5" s="194">
        <v>3</v>
      </c>
      <c r="AC5" s="194">
        <v>4</v>
      </c>
      <c r="AD5" s="194">
        <v>5</v>
      </c>
      <c r="AE5" s="194">
        <v>6</v>
      </c>
      <c r="AF5" s="194">
        <v>7</v>
      </c>
      <c r="AG5" s="194">
        <v>8</v>
      </c>
      <c r="AH5" s="194">
        <v>9</v>
      </c>
      <c r="AI5" s="195">
        <v>10</v>
      </c>
    </row>
    <row r="6" spans="1:40" ht="27" thickBot="1" x14ac:dyDescent="0.35">
      <c r="B6" s="170">
        <v>1</v>
      </c>
      <c r="C6" s="171" t="s">
        <v>116</v>
      </c>
      <c r="D6" s="177"/>
      <c r="E6" s="175"/>
      <c r="F6" s="175" t="s">
        <v>112</v>
      </c>
      <c r="G6" s="175"/>
      <c r="H6" s="175"/>
      <c r="I6" s="182"/>
      <c r="J6" s="183"/>
      <c r="K6" s="184"/>
      <c r="L6" s="185"/>
      <c r="M6" s="185"/>
      <c r="N6" s="185"/>
      <c r="O6" s="185"/>
      <c r="P6" s="185" t="s">
        <v>106</v>
      </c>
      <c r="Q6" s="185"/>
      <c r="R6" s="185"/>
      <c r="S6" s="176"/>
      <c r="T6" s="176"/>
      <c r="U6" s="176"/>
      <c r="V6" s="176"/>
      <c r="W6" s="176"/>
      <c r="X6" s="180"/>
      <c r="Y6" s="181"/>
      <c r="Z6" s="315" t="s">
        <v>123</v>
      </c>
      <c r="AA6" s="316"/>
      <c r="AB6" s="316"/>
      <c r="AC6" s="316"/>
      <c r="AD6" s="316"/>
      <c r="AE6" s="316"/>
      <c r="AF6" s="316"/>
      <c r="AG6" s="316"/>
      <c r="AH6" s="316"/>
      <c r="AI6" s="317"/>
    </row>
    <row r="7" spans="1:40" ht="27" thickBot="1" x14ac:dyDescent="0.35">
      <c r="B7" s="168">
        <v>2</v>
      </c>
      <c r="C7" s="169" t="s">
        <v>115</v>
      </c>
      <c r="D7" s="179"/>
      <c r="E7" s="176"/>
      <c r="F7" s="176" t="s">
        <v>105</v>
      </c>
      <c r="G7" s="176"/>
      <c r="H7" s="176"/>
      <c r="I7" s="179"/>
      <c r="J7" s="176" t="s">
        <v>109</v>
      </c>
      <c r="K7" s="176"/>
      <c r="L7" s="176"/>
      <c r="M7" s="176"/>
      <c r="N7" s="177"/>
      <c r="O7" s="175" t="s">
        <v>109</v>
      </c>
      <c r="P7" s="175"/>
      <c r="Q7" s="175"/>
      <c r="R7" s="178"/>
      <c r="S7" s="190"/>
      <c r="T7" s="191" t="s">
        <v>124</v>
      </c>
      <c r="U7" s="191"/>
      <c r="V7" s="191"/>
      <c r="W7" s="192"/>
      <c r="X7" s="181"/>
      <c r="Y7" s="181"/>
      <c r="Z7" s="318"/>
      <c r="AA7" s="319"/>
      <c r="AB7" s="319"/>
      <c r="AC7" s="319"/>
      <c r="AD7" s="319"/>
      <c r="AE7" s="319"/>
      <c r="AF7" s="319"/>
      <c r="AG7" s="319"/>
      <c r="AH7" s="319"/>
      <c r="AI7" s="320"/>
    </row>
    <row r="8" spans="1:40" ht="27" thickBot="1" x14ac:dyDescent="0.35">
      <c r="B8" s="168">
        <v>3</v>
      </c>
      <c r="C8" s="169" t="s">
        <v>114</v>
      </c>
      <c r="D8" s="177"/>
      <c r="E8" s="175"/>
      <c r="F8" s="175"/>
      <c r="G8" s="175"/>
      <c r="H8" s="175" t="s">
        <v>106</v>
      </c>
      <c r="I8" s="186"/>
      <c r="J8" s="186"/>
      <c r="K8" s="186"/>
      <c r="L8" s="186"/>
      <c r="M8" s="186"/>
      <c r="N8" s="187"/>
      <c r="O8" s="188"/>
      <c r="P8" s="189"/>
      <c r="Q8" s="189"/>
      <c r="R8" s="189" t="s">
        <v>106</v>
      </c>
      <c r="S8" s="176"/>
      <c r="T8" s="176"/>
      <c r="U8" s="176"/>
      <c r="V8" s="176"/>
      <c r="W8" s="176"/>
      <c r="X8" s="180"/>
      <c r="Y8" s="181"/>
      <c r="Z8" s="318"/>
      <c r="AA8" s="319"/>
      <c r="AB8" s="319"/>
      <c r="AC8" s="319"/>
      <c r="AD8" s="319"/>
      <c r="AE8" s="319"/>
      <c r="AF8" s="319"/>
      <c r="AG8" s="319"/>
      <c r="AH8" s="319"/>
      <c r="AI8" s="320"/>
    </row>
    <row r="9" spans="1:40" ht="27" thickBot="1" x14ac:dyDescent="0.35">
      <c r="B9" s="168">
        <v>4</v>
      </c>
      <c r="C9" s="169" t="s">
        <v>441</v>
      </c>
      <c r="D9" s="289"/>
      <c r="E9" s="290"/>
      <c r="F9" s="290"/>
      <c r="G9" s="290"/>
      <c r="H9" s="290" t="s">
        <v>111</v>
      </c>
      <c r="I9" s="290"/>
      <c r="J9" s="290"/>
      <c r="K9" s="290"/>
      <c r="L9" s="290"/>
      <c r="M9" s="290"/>
      <c r="N9" s="291"/>
      <c r="O9" s="179"/>
      <c r="P9" s="176"/>
      <c r="Q9" s="176"/>
      <c r="R9" s="176"/>
      <c r="S9" s="176" t="s">
        <v>111</v>
      </c>
      <c r="T9" s="176"/>
      <c r="U9" s="176"/>
      <c r="V9" s="176"/>
      <c r="W9" s="176"/>
      <c r="X9" s="180"/>
      <c r="Y9" s="181"/>
      <c r="Z9" s="318"/>
      <c r="AA9" s="319"/>
      <c r="AB9" s="319"/>
      <c r="AC9" s="319"/>
      <c r="AD9" s="319"/>
      <c r="AE9" s="319"/>
      <c r="AF9" s="319"/>
      <c r="AG9" s="319"/>
      <c r="AH9" s="319"/>
      <c r="AI9" s="320"/>
    </row>
    <row r="10" spans="1:40" ht="27" thickBot="1" x14ac:dyDescent="0.35">
      <c r="B10" s="168">
        <v>5</v>
      </c>
      <c r="C10" s="169" t="s">
        <v>119</v>
      </c>
      <c r="D10" s="177"/>
      <c r="E10" s="175" t="s">
        <v>82</v>
      </c>
      <c r="F10" s="175"/>
      <c r="G10" s="178"/>
      <c r="H10" s="177"/>
      <c r="I10" s="175" t="s">
        <v>110</v>
      </c>
      <c r="J10" s="178"/>
      <c r="K10" s="175"/>
      <c r="L10" s="175"/>
      <c r="M10" s="178"/>
      <c r="N10" s="177"/>
      <c r="O10" s="175" t="s">
        <v>101</v>
      </c>
      <c r="P10" s="182"/>
      <c r="Q10" s="182"/>
      <c r="R10" s="183"/>
      <c r="S10" s="190"/>
      <c r="T10" s="191" t="s">
        <v>122</v>
      </c>
      <c r="U10" s="191"/>
      <c r="V10" s="191"/>
      <c r="W10" s="192"/>
      <c r="X10" s="181"/>
      <c r="Y10" s="181"/>
      <c r="Z10" s="318"/>
      <c r="AA10" s="319"/>
      <c r="AB10" s="319"/>
      <c r="AC10" s="319"/>
      <c r="AD10" s="319"/>
      <c r="AE10" s="319"/>
      <c r="AF10" s="319"/>
      <c r="AG10" s="319"/>
      <c r="AH10" s="319"/>
      <c r="AI10" s="320"/>
    </row>
    <row r="11" spans="1:40" ht="27" thickBot="1" x14ac:dyDescent="0.35">
      <c r="B11" s="168">
        <v>6</v>
      </c>
      <c r="C11" s="169" t="s">
        <v>118</v>
      </c>
      <c r="D11" s="179"/>
      <c r="E11" s="176"/>
      <c r="F11" s="176" t="s">
        <v>107</v>
      </c>
      <c r="G11" s="176"/>
      <c r="H11" s="176"/>
      <c r="I11" s="180"/>
      <c r="J11" s="179"/>
      <c r="K11" s="176" t="s">
        <v>108</v>
      </c>
      <c r="L11" s="176"/>
      <c r="M11" s="176"/>
      <c r="N11" s="176"/>
      <c r="O11" s="180"/>
      <c r="P11" s="177"/>
      <c r="Q11" s="175" t="s">
        <v>113</v>
      </c>
      <c r="R11" s="175"/>
      <c r="S11" s="186"/>
      <c r="T11" s="187"/>
      <c r="U11" s="190"/>
      <c r="V11" s="191" t="s">
        <v>125</v>
      </c>
      <c r="W11" s="191"/>
      <c r="X11" s="191"/>
      <c r="Y11" s="192"/>
      <c r="Z11" s="318"/>
      <c r="AA11" s="319"/>
      <c r="AB11" s="319"/>
      <c r="AC11" s="319"/>
      <c r="AD11" s="319"/>
      <c r="AE11" s="319"/>
      <c r="AF11" s="319"/>
      <c r="AG11" s="319"/>
      <c r="AH11" s="319"/>
      <c r="AI11" s="320"/>
    </row>
    <row r="12" spans="1:40" ht="27" thickBot="1" x14ac:dyDescent="0.35">
      <c r="B12" s="170">
        <v>7</v>
      </c>
      <c r="C12" s="170" t="s">
        <v>84</v>
      </c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321"/>
      <c r="AA12" s="322"/>
      <c r="AB12" s="322"/>
      <c r="AC12" s="322"/>
      <c r="AD12" s="322"/>
      <c r="AE12" s="322"/>
      <c r="AF12" s="322"/>
      <c r="AG12" s="322"/>
      <c r="AH12" s="322"/>
      <c r="AI12" s="323"/>
    </row>
  </sheetData>
  <mergeCells count="5">
    <mergeCell ref="A1:B2"/>
    <mergeCell ref="C1:AI2"/>
    <mergeCell ref="AK1:AL1"/>
    <mergeCell ref="AK2:AL2"/>
    <mergeCell ref="Z6:AI12"/>
  </mergeCells>
  <phoneticPr fontId="32" type="noConversion"/>
  <pageMargins left="0.25" right="0.25" top="0.75" bottom="0.75" header="0.3" footer="0.3"/>
  <pageSetup paperSize="9" scale="5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DF9C-CC46-9247-929E-039DCF1DD5E4}">
  <sheetPr>
    <pageSetUpPr fitToPage="1"/>
  </sheetPr>
  <dimension ref="A1:V106"/>
  <sheetViews>
    <sheetView showGridLines="0" view="pageBreakPreview" zoomScaleNormal="100" zoomScaleSheetLayoutView="100" workbookViewId="0">
      <selection sqref="A1:B2"/>
    </sheetView>
  </sheetViews>
  <sheetFormatPr baseColWidth="10" defaultRowHeight="16" x14ac:dyDescent="0.2"/>
  <cols>
    <col min="13" max="13" width="10.83203125" customWidth="1"/>
    <col min="14" max="14" width="12" customWidth="1"/>
    <col min="19" max="19" width="14.83203125" customWidth="1"/>
    <col min="20" max="20" width="13.83203125" customWidth="1"/>
  </cols>
  <sheetData>
    <row r="1" spans="1:21" ht="34" customHeight="1" x14ac:dyDescent="0.2">
      <c r="A1" s="341" t="s">
        <v>22</v>
      </c>
      <c r="B1" s="34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19" t="s">
        <v>21</v>
      </c>
      <c r="T1" s="311">
        <v>44555</v>
      </c>
      <c r="U1" s="312"/>
    </row>
    <row r="2" spans="1:21" ht="34" customHeight="1" thickBot="1" x14ac:dyDescent="0.25">
      <c r="A2" s="343"/>
      <c r="B2" s="34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20" t="s">
        <v>20</v>
      </c>
      <c r="T2" s="313">
        <f ca="1">NOW()</f>
        <v>44662.727361805555</v>
      </c>
      <c r="U2" s="314"/>
    </row>
    <row r="3" spans="1:21" ht="17" thickBot="1" x14ac:dyDescent="0.25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0"/>
    </row>
    <row r="4" spans="1:21" ht="21" customHeight="1" x14ac:dyDescent="0.25">
      <c r="A4" s="17" t="s">
        <v>23</v>
      </c>
      <c r="B4" s="3"/>
      <c r="C4" s="3"/>
      <c r="D4" s="324" t="s">
        <v>100</v>
      </c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6"/>
      <c r="U4" s="10"/>
    </row>
    <row r="5" spans="1:21" ht="16" customHeight="1" x14ac:dyDescent="0.2">
      <c r="A5" s="18" t="s">
        <v>24</v>
      </c>
      <c r="B5" s="3"/>
      <c r="C5" s="3"/>
      <c r="D5" s="327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9"/>
      <c r="U5" s="10"/>
    </row>
    <row r="6" spans="1:21" ht="16" customHeight="1" x14ac:dyDescent="0.2">
      <c r="A6" s="9"/>
      <c r="B6" s="3"/>
      <c r="C6" s="3"/>
      <c r="D6" s="327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9"/>
      <c r="U6" s="10"/>
    </row>
    <row r="7" spans="1:21" ht="16" customHeight="1" x14ac:dyDescent="0.2">
      <c r="A7" s="9"/>
      <c r="B7" s="3"/>
      <c r="C7" s="3"/>
      <c r="D7" s="327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9"/>
      <c r="U7" s="10"/>
    </row>
    <row r="8" spans="1:21" ht="17" customHeight="1" thickBot="1" x14ac:dyDescent="0.25">
      <c r="A8" s="9"/>
      <c r="B8" s="3"/>
      <c r="C8" s="3"/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2"/>
      <c r="U8" s="10"/>
    </row>
    <row r="9" spans="1:21" x14ac:dyDescent="0.2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10"/>
    </row>
    <row r="10" spans="1:21" x14ac:dyDescent="0.2">
      <c r="A10" s="333" t="s">
        <v>25</v>
      </c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5"/>
    </row>
    <row r="11" spans="1:21" x14ac:dyDescent="0.2">
      <c r="A11" s="336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8"/>
    </row>
    <row r="12" spans="1:21" x14ac:dyDescent="0.2">
      <c r="A12" s="105"/>
      <c r="B12" s="106"/>
      <c r="C12" s="106"/>
      <c r="D12" s="106"/>
      <c r="E12" s="106"/>
      <c r="F12" s="106"/>
      <c r="G12" s="106"/>
      <c r="H12" s="106"/>
      <c r="I12" s="108"/>
      <c r="J12" s="108"/>
      <c r="K12" s="108"/>
      <c r="L12" s="108"/>
      <c r="M12" s="108"/>
      <c r="N12" s="108"/>
      <c r="O12" s="108"/>
      <c r="P12" s="109"/>
      <c r="Q12" s="109"/>
      <c r="R12" s="109"/>
      <c r="S12" s="109"/>
      <c r="T12" s="109"/>
      <c r="U12" s="110"/>
    </row>
    <row r="13" spans="1:21" s="2" customFormat="1" ht="29" x14ac:dyDescent="0.35">
      <c r="A13" s="196"/>
      <c r="B13" s="197"/>
      <c r="C13" s="339" t="s">
        <v>89</v>
      </c>
      <c r="D13" s="340"/>
      <c r="E13" s="340"/>
      <c r="F13" s="197"/>
      <c r="G13" s="106"/>
      <c r="H13" s="106"/>
      <c r="I13" s="108"/>
      <c r="J13" s="207"/>
      <c r="K13" s="349" t="s">
        <v>101</v>
      </c>
      <c r="L13" s="349"/>
      <c r="M13" s="349"/>
      <c r="N13" s="108"/>
      <c r="O13" s="108"/>
      <c r="P13" s="109"/>
      <c r="Q13" s="339" t="s">
        <v>178</v>
      </c>
      <c r="R13" s="340"/>
      <c r="S13" s="340"/>
      <c r="T13" s="111"/>
      <c r="U13" s="112"/>
    </row>
    <row r="14" spans="1:21" x14ac:dyDescent="0.2">
      <c r="A14" s="105"/>
      <c r="B14" s="106"/>
      <c r="C14" s="106"/>
      <c r="D14" s="106"/>
      <c r="E14" s="106"/>
      <c r="F14" s="106"/>
      <c r="G14" s="106"/>
      <c r="H14" s="106"/>
      <c r="I14" s="108"/>
      <c r="J14" s="108"/>
      <c r="K14" s="108"/>
      <c r="L14" s="108"/>
      <c r="M14" s="108"/>
      <c r="N14" s="108"/>
      <c r="O14" s="108"/>
      <c r="P14" s="109"/>
      <c r="Q14" s="109"/>
      <c r="R14" s="109"/>
      <c r="S14" s="109"/>
      <c r="T14" s="109"/>
      <c r="U14" s="110"/>
    </row>
    <row r="15" spans="1:21" x14ac:dyDescent="0.2">
      <c r="A15" s="105"/>
      <c r="B15" s="106"/>
      <c r="C15" s="106"/>
      <c r="D15" s="106"/>
      <c r="E15" s="106"/>
      <c r="F15" s="106"/>
      <c r="G15" s="106"/>
      <c r="H15" s="106"/>
      <c r="I15" s="108"/>
      <c r="J15" s="108"/>
      <c r="K15" s="108"/>
      <c r="L15" s="108"/>
      <c r="M15" s="108"/>
      <c r="N15" s="108"/>
      <c r="O15" s="108"/>
      <c r="P15" s="109"/>
      <c r="Q15" s="109"/>
      <c r="R15" s="109"/>
      <c r="S15" s="109"/>
      <c r="T15" s="109"/>
      <c r="U15" s="110"/>
    </row>
    <row r="16" spans="1:21" x14ac:dyDescent="0.2">
      <c r="A16" s="105"/>
      <c r="B16" s="106"/>
      <c r="C16" s="106"/>
      <c r="D16" s="106"/>
      <c r="E16" s="106"/>
      <c r="F16" s="106"/>
      <c r="G16" s="106"/>
      <c r="H16" s="106"/>
      <c r="I16" s="108"/>
      <c r="J16" s="108"/>
      <c r="K16" s="108"/>
      <c r="L16" s="108"/>
      <c r="M16" s="108"/>
      <c r="N16" s="108"/>
      <c r="O16" s="108"/>
      <c r="P16" s="109"/>
      <c r="Q16" s="109"/>
      <c r="R16" s="109"/>
      <c r="S16" s="109"/>
      <c r="T16" s="109"/>
      <c r="U16" s="110"/>
    </row>
    <row r="17" spans="1:22" x14ac:dyDescent="0.2">
      <c r="A17" s="105"/>
      <c r="B17" s="106"/>
      <c r="C17" s="106"/>
      <c r="D17" s="106"/>
      <c r="E17" s="106"/>
      <c r="F17" s="106"/>
      <c r="G17" s="106"/>
      <c r="H17" s="106"/>
      <c r="I17" s="108"/>
      <c r="J17" s="108"/>
      <c r="K17" s="108"/>
      <c r="L17" s="108"/>
      <c r="M17" s="108"/>
      <c r="N17" s="108"/>
      <c r="O17" s="108"/>
      <c r="P17" s="109"/>
      <c r="Q17" s="109"/>
      <c r="R17" s="109"/>
      <c r="S17" s="109"/>
      <c r="T17" s="109"/>
      <c r="U17" s="110"/>
    </row>
    <row r="18" spans="1:22" x14ac:dyDescent="0.2">
      <c r="A18" s="105"/>
      <c r="B18" s="106"/>
      <c r="C18" s="106"/>
      <c r="D18" s="106"/>
      <c r="E18" s="106"/>
      <c r="F18" s="106"/>
      <c r="G18" s="106"/>
      <c r="H18" s="106"/>
      <c r="I18" s="108"/>
      <c r="J18" s="108"/>
      <c r="K18" s="108"/>
      <c r="L18" s="108"/>
      <c r="M18" s="108"/>
      <c r="N18" s="108"/>
      <c r="O18" s="108"/>
      <c r="P18" s="109"/>
      <c r="Q18" s="109"/>
      <c r="R18" s="109"/>
      <c r="S18" s="109"/>
      <c r="T18" s="109"/>
      <c r="U18" s="110"/>
    </row>
    <row r="19" spans="1:22" x14ac:dyDescent="0.2">
      <c r="A19" s="105"/>
      <c r="B19" s="106"/>
      <c r="C19" s="106"/>
      <c r="D19" s="106"/>
      <c r="E19" s="106"/>
      <c r="F19" s="106"/>
      <c r="G19" s="106"/>
      <c r="H19" s="106"/>
      <c r="I19" s="108"/>
      <c r="J19" s="108"/>
      <c r="K19" s="108"/>
      <c r="L19" s="108"/>
      <c r="M19" s="108"/>
      <c r="N19" s="108"/>
      <c r="O19" s="108"/>
      <c r="P19" s="109"/>
      <c r="Q19" s="109"/>
      <c r="R19" s="109"/>
      <c r="S19" s="109"/>
      <c r="T19" s="109"/>
      <c r="U19" s="110"/>
    </row>
    <row r="20" spans="1:22" x14ac:dyDescent="0.2">
      <c r="A20" s="105"/>
      <c r="B20" s="106"/>
      <c r="C20" s="106"/>
      <c r="D20" s="106"/>
      <c r="E20" s="106"/>
      <c r="F20" s="106"/>
      <c r="G20" s="106"/>
      <c r="H20" s="106"/>
      <c r="I20" s="108"/>
      <c r="J20" s="108"/>
      <c r="K20" s="108"/>
      <c r="L20" s="108"/>
      <c r="M20" s="108"/>
      <c r="N20" s="108"/>
      <c r="O20" s="108"/>
      <c r="P20" s="109"/>
      <c r="Q20" s="109"/>
      <c r="R20" s="109"/>
      <c r="S20" s="109"/>
      <c r="T20" s="109"/>
      <c r="U20" s="110"/>
    </row>
    <row r="21" spans="1:22" x14ac:dyDescent="0.2">
      <c r="A21" s="105"/>
      <c r="B21" s="106"/>
      <c r="C21" s="106"/>
      <c r="D21" s="106"/>
      <c r="E21" s="106"/>
      <c r="F21" s="106"/>
      <c r="G21" s="106"/>
      <c r="H21" s="106"/>
      <c r="I21" s="108"/>
      <c r="J21" s="108"/>
      <c r="K21" s="108"/>
      <c r="L21" s="108"/>
      <c r="M21" s="108"/>
      <c r="N21" s="108"/>
      <c r="O21" s="108"/>
      <c r="P21" s="109"/>
      <c r="Q21" s="109"/>
      <c r="R21" s="109"/>
      <c r="S21" s="109"/>
      <c r="T21" s="109"/>
      <c r="U21" s="110"/>
      <c r="V21" s="106"/>
    </row>
    <row r="22" spans="1:22" x14ac:dyDescent="0.2">
      <c r="A22" s="105"/>
      <c r="B22" s="106"/>
      <c r="C22" s="106"/>
      <c r="D22" s="106"/>
      <c r="E22" s="106"/>
      <c r="F22" s="106"/>
      <c r="G22" s="106"/>
      <c r="H22" s="106"/>
      <c r="I22" s="108"/>
      <c r="J22" s="108"/>
      <c r="K22" s="108"/>
      <c r="L22" s="108"/>
      <c r="M22" s="108"/>
      <c r="N22" s="108"/>
      <c r="O22" s="108"/>
      <c r="P22" s="109"/>
      <c r="Q22" s="109"/>
      <c r="R22" s="109"/>
      <c r="S22" s="109"/>
      <c r="T22" s="109"/>
      <c r="U22" s="110"/>
    </row>
    <row r="23" spans="1:22" x14ac:dyDescent="0.2">
      <c r="A23" s="105"/>
      <c r="B23" s="106"/>
      <c r="C23" s="106"/>
      <c r="D23" s="106"/>
      <c r="E23" s="106"/>
      <c r="F23" s="106"/>
      <c r="G23" s="106"/>
      <c r="H23" s="106"/>
      <c r="I23" s="108"/>
      <c r="J23" s="108"/>
      <c r="K23" s="108"/>
      <c r="L23" s="108"/>
      <c r="M23" s="108"/>
      <c r="N23" s="108"/>
      <c r="O23" s="108"/>
      <c r="P23" s="109"/>
      <c r="Q23" s="109"/>
      <c r="R23" s="109"/>
      <c r="S23" s="109"/>
      <c r="T23" s="109"/>
      <c r="U23" s="110"/>
    </row>
    <row r="24" spans="1:22" ht="24" x14ac:dyDescent="0.3">
      <c r="A24" s="105"/>
      <c r="B24" s="106"/>
      <c r="C24" s="113" t="s">
        <v>0</v>
      </c>
      <c r="D24" s="106"/>
      <c r="E24" s="113" t="s">
        <v>103</v>
      </c>
      <c r="F24" s="106"/>
      <c r="G24" s="106"/>
      <c r="H24" s="106"/>
      <c r="I24" s="108"/>
      <c r="J24" s="108"/>
      <c r="K24" s="108"/>
      <c r="L24" s="108"/>
      <c r="M24" s="108"/>
      <c r="N24" s="108"/>
      <c r="O24" s="108"/>
      <c r="P24" s="109"/>
      <c r="Q24" s="109"/>
      <c r="R24" s="109"/>
      <c r="S24" s="109"/>
      <c r="T24" s="109"/>
      <c r="U24" s="110"/>
    </row>
    <row r="25" spans="1:22" x14ac:dyDescent="0.2">
      <c r="A25" s="105"/>
      <c r="B25" s="106"/>
      <c r="C25" s="106"/>
      <c r="D25" s="106"/>
      <c r="E25" s="106"/>
      <c r="F25" s="106"/>
      <c r="G25" s="106"/>
      <c r="H25" s="106"/>
      <c r="I25" s="108"/>
      <c r="J25" s="108"/>
      <c r="K25" s="108"/>
      <c r="L25" s="108"/>
      <c r="M25" s="108"/>
      <c r="N25" s="108"/>
      <c r="O25" s="108"/>
      <c r="P25" s="109"/>
      <c r="Q25" s="109"/>
      <c r="R25" s="109"/>
      <c r="S25" s="109"/>
      <c r="T25" s="109"/>
      <c r="U25" s="110"/>
    </row>
    <row r="26" spans="1:22" x14ac:dyDescent="0.2">
      <c r="A26" s="105"/>
      <c r="B26" s="106"/>
      <c r="C26" s="106"/>
      <c r="D26" s="106"/>
      <c r="E26" s="106"/>
      <c r="F26" s="106"/>
      <c r="G26" s="106"/>
      <c r="H26" s="106"/>
      <c r="I26" s="108"/>
      <c r="J26" s="108"/>
      <c r="K26" s="108"/>
      <c r="L26" s="108"/>
      <c r="M26" s="108"/>
      <c r="N26" s="108"/>
      <c r="O26" s="108"/>
      <c r="P26" s="109"/>
      <c r="Q26" s="109"/>
      <c r="R26" s="109"/>
      <c r="S26" s="109"/>
      <c r="T26" s="109"/>
      <c r="U26" s="110"/>
    </row>
    <row r="27" spans="1:22" x14ac:dyDescent="0.2">
      <c r="A27" s="105"/>
      <c r="B27" s="106"/>
      <c r="C27" s="106"/>
      <c r="D27" s="106"/>
      <c r="E27" s="106"/>
      <c r="F27" s="106"/>
      <c r="G27" s="106"/>
      <c r="H27" s="106"/>
      <c r="I27" s="108"/>
      <c r="J27" s="108"/>
      <c r="K27" s="108"/>
      <c r="L27" s="108"/>
      <c r="M27" s="108"/>
      <c r="N27" s="108"/>
      <c r="O27" s="108"/>
      <c r="P27" s="109"/>
      <c r="Q27" s="109"/>
      <c r="R27" s="109"/>
      <c r="S27" s="109"/>
      <c r="T27" s="109"/>
      <c r="U27" s="110"/>
    </row>
    <row r="28" spans="1:22" x14ac:dyDescent="0.2">
      <c r="A28" s="105"/>
      <c r="B28" s="106"/>
      <c r="C28" s="106"/>
      <c r="D28" s="106"/>
      <c r="E28" s="106"/>
      <c r="F28" s="106"/>
      <c r="G28" s="106"/>
      <c r="H28" s="106"/>
      <c r="I28" s="108"/>
      <c r="J28" s="108"/>
      <c r="K28" s="108"/>
      <c r="L28" s="108"/>
      <c r="M28" s="108"/>
      <c r="N28" s="108"/>
      <c r="O28" s="108"/>
      <c r="P28" s="109"/>
      <c r="Q28" s="109"/>
      <c r="R28" s="109"/>
      <c r="S28" s="109"/>
      <c r="T28" s="109"/>
      <c r="U28" s="110"/>
    </row>
    <row r="29" spans="1:22" x14ac:dyDescent="0.2">
      <c r="A29" s="105"/>
      <c r="B29" s="106"/>
      <c r="C29" s="106"/>
      <c r="D29" s="106"/>
      <c r="E29" s="106"/>
      <c r="F29" s="106"/>
      <c r="G29" s="106"/>
      <c r="H29" s="106"/>
      <c r="I29" s="108"/>
      <c r="J29" s="108"/>
      <c r="K29" s="108"/>
      <c r="L29" s="108"/>
      <c r="M29" s="108"/>
      <c r="N29" s="108"/>
      <c r="O29" s="108"/>
      <c r="P29" s="109"/>
      <c r="Q29" s="109"/>
      <c r="R29" s="109"/>
      <c r="S29" s="109"/>
      <c r="T29" s="109"/>
      <c r="U29" s="110"/>
    </row>
    <row r="30" spans="1:22" x14ac:dyDescent="0.2">
      <c r="A30" s="105"/>
      <c r="B30" s="106"/>
      <c r="C30" s="106"/>
      <c r="D30" s="106"/>
      <c r="E30" s="106"/>
      <c r="F30" s="106"/>
      <c r="G30" s="106"/>
      <c r="H30" s="106"/>
      <c r="I30" s="108"/>
      <c r="J30" s="108"/>
      <c r="K30" s="108"/>
      <c r="L30" s="108"/>
      <c r="M30" s="108"/>
      <c r="N30" s="108"/>
      <c r="O30" s="108"/>
      <c r="P30" s="109"/>
      <c r="Q30" s="109"/>
      <c r="R30" s="109"/>
      <c r="S30" s="109"/>
      <c r="T30" s="109"/>
      <c r="U30" s="110"/>
    </row>
    <row r="31" spans="1:22" x14ac:dyDescent="0.2">
      <c r="A31" s="105"/>
      <c r="B31" s="106"/>
      <c r="C31" s="106"/>
      <c r="D31" s="106"/>
      <c r="E31" s="106"/>
      <c r="F31" s="106"/>
      <c r="G31" s="106"/>
      <c r="H31" s="106"/>
      <c r="I31" s="108"/>
      <c r="J31" s="108"/>
      <c r="K31" s="108"/>
      <c r="L31" s="108"/>
      <c r="M31" s="108"/>
      <c r="N31" s="108"/>
      <c r="O31" s="108"/>
      <c r="P31" s="109"/>
      <c r="Q31" s="109"/>
      <c r="R31" s="109"/>
      <c r="S31" s="109"/>
      <c r="T31" s="109"/>
      <c r="U31" s="110"/>
    </row>
    <row r="32" spans="1:22" ht="17" customHeight="1" x14ac:dyDescent="0.2">
      <c r="A32" s="105"/>
      <c r="B32" s="106"/>
      <c r="C32" s="106"/>
      <c r="D32" s="106"/>
      <c r="E32" s="106"/>
      <c r="F32" s="106"/>
      <c r="G32" s="106"/>
      <c r="H32" s="106"/>
      <c r="I32" s="108"/>
      <c r="J32" s="108"/>
      <c r="K32" s="108"/>
      <c r="L32" s="108"/>
      <c r="M32" s="108"/>
      <c r="N32" s="108"/>
      <c r="O32" s="108"/>
      <c r="P32" s="109"/>
      <c r="Q32" s="109"/>
      <c r="R32" s="109"/>
      <c r="S32" s="109"/>
      <c r="T32" s="109"/>
      <c r="U32" s="110"/>
    </row>
    <row r="33" spans="1:21" ht="20" customHeight="1" x14ac:dyDescent="0.3">
      <c r="A33" s="105"/>
      <c r="B33" s="106"/>
      <c r="C33" s="106"/>
      <c r="D33" s="106"/>
      <c r="E33" s="106"/>
      <c r="F33" s="106"/>
      <c r="G33" s="106"/>
      <c r="H33" s="106"/>
      <c r="I33" s="108"/>
      <c r="J33" s="108"/>
      <c r="K33" s="108"/>
      <c r="L33" s="199"/>
      <c r="M33" s="114" t="s">
        <v>103</v>
      </c>
      <c r="N33" s="114"/>
      <c r="O33" s="108"/>
      <c r="P33" s="109"/>
      <c r="Q33" s="109"/>
      <c r="R33" s="109"/>
      <c r="S33" s="109"/>
      <c r="T33" s="109"/>
      <c r="U33" s="110"/>
    </row>
    <row r="34" spans="1:21" ht="16" customHeight="1" x14ac:dyDescent="0.2">
      <c r="A34" s="105"/>
      <c r="B34" s="106"/>
      <c r="C34" s="106"/>
      <c r="D34" s="106"/>
      <c r="E34" s="106"/>
      <c r="F34" s="106"/>
      <c r="G34" s="106"/>
      <c r="H34" s="106"/>
      <c r="I34" s="108"/>
      <c r="J34" s="108"/>
      <c r="K34" s="200" t="s">
        <v>0</v>
      </c>
      <c r="L34" s="108"/>
      <c r="M34" s="108"/>
      <c r="N34" s="108"/>
      <c r="O34" s="108"/>
      <c r="P34" s="109"/>
      <c r="Q34" s="109"/>
      <c r="R34" s="109"/>
      <c r="S34" s="109"/>
      <c r="T34" s="109"/>
      <c r="U34" s="110"/>
    </row>
    <row r="35" spans="1:21" ht="16" customHeight="1" x14ac:dyDescent="0.2">
      <c r="A35" s="105"/>
      <c r="B35" s="106"/>
      <c r="C35" s="106"/>
      <c r="D35" s="106"/>
      <c r="E35" s="106"/>
      <c r="F35" s="106"/>
      <c r="G35" s="106"/>
      <c r="H35" s="106"/>
      <c r="I35" s="108"/>
      <c r="J35" s="108"/>
      <c r="K35" s="108"/>
      <c r="L35" s="108"/>
      <c r="M35" s="108"/>
      <c r="N35" s="108"/>
      <c r="O35" s="108"/>
      <c r="P35" s="109"/>
      <c r="Q35" s="109"/>
      <c r="R35" s="109"/>
      <c r="S35" s="109"/>
      <c r="T35" s="109"/>
      <c r="U35" s="110"/>
    </row>
    <row r="36" spans="1:21" ht="16" customHeight="1" x14ac:dyDescent="0.2">
      <c r="A36" s="105"/>
      <c r="B36" s="106"/>
      <c r="C36" s="106"/>
      <c r="D36" s="106"/>
      <c r="E36" s="106"/>
      <c r="F36" s="106"/>
      <c r="G36" s="106"/>
      <c r="H36" s="106"/>
      <c r="I36" s="108"/>
      <c r="J36" s="108"/>
      <c r="K36" s="108"/>
      <c r="L36" s="108"/>
      <c r="M36" s="108"/>
      <c r="N36" s="108"/>
      <c r="O36" s="108"/>
      <c r="P36" s="109"/>
      <c r="Q36" s="109"/>
      <c r="R36" s="109"/>
      <c r="S36" s="109"/>
      <c r="T36" s="109"/>
      <c r="U36" s="110"/>
    </row>
    <row r="37" spans="1:21" ht="17" customHeight="1" x14ac:dyDescent="0.2">
      <c r="A37" s="105"/>
      <c r="B37" s="106"/>
      <c r="C37" s="106"/>
      <c r="D37" s="106"/>
      <c r="E37" s="106"/>
      <c r="F37" s="106"/>
      <c r="G37" s="106"/>
      <c r="H37" s="106"/>
      <c r="I37" s="108"/>
      <c r="J37" s="108"/>
      <c r="K37" s="108"/>
      <c r="L37" s="108"/>
      <c r="M37" s="108"/>
      <c r="N37" s="108"/>
      <c r="O37" s="108"/>
      <c r="P37" s="109"/>
      <c r="Q37" s="109"/>
      <c r="R37" s="109"/>
      <c r="S37" s="109"/>
      <c r="T37" s="109"/>
      <c r="U37" s="110"/>
    </row>
    <row r="38" spans="1:21" ht="24" x14ac:dyDescent="0.3">
      <c r="A38" s="105"/>
      <c r="B38" s="106"/>
      <c r="C38" s="106"/>
      <c r="D38" s="106"/>
      <c r="E38" s="106"/>
      <c r="F38" s="106"/>
      <c r="G38" s="106"/>
      <c r="H38" s="106"/>
      <c r="I38" s="108"/>
      <c r="J38" s="108"/>
      <c r="K38" s="108"/>
      <c r="L38" s="199"/>
      <c r="M38" s="114"/>
      <c r="N38" s="199"/>
      <c r="O38" s="108"/>
      <c r="P38" s="109"/>
      <c r="Q38" s="109"/>
      <c r="R38" s="109"/>
      <c r="S38" s="109"/>
      <c r="T38" s="109"/>
      <c r="U38" s="110"/>
    </row>
    <row r="39" spans="1:21" x14ac:dyDescent="0.2">
      <c r="A39" s="105"/>
      <c r="B39" s="106"/>
      <c r="C39" s="106"/>
      <c r="D39" s="106"/>
      <c r="E39" s="106"/>
      <c r="F39" s="106"/>
      <c r="G39" s="106"/>
      <c r="H39" s="106"/>
      <c r="I39" s="108"/>
      <c r="J39" s="108"/>
      <c r="K39" s="108"/>
      <c r="L39" s="108"/>
      <c r="M39" s="108"/>
      <c r="N39" s="108"/>
      <c r="O39" s="108"/>
      <c r="P39" s="109"/>
      <c r="Q39" s="109"/>
      <c r="R39" s="109"/>
      <c r="S39" s="109"/>
      <c r="T39" s="109"/>
      <c r="U39" s="110"/>
    </row>
    <row r="40" spans="1:21" x14ac:dyDescent="0.2">
      <c r="A40" s="105"/>
      <c r="B40" s="106"/>
      <c r="C40" s="106"/>
      <c r="D40" s="106"/>
      <c r="E40" s="106"/>
      <c r="F40" s="106"/>
      <c r="G40" s="106"/>
      <c r="H40" s="106"/>
      <c r="I40" s="108"/>
      <c r="J40" s="108"/>
      <c r="K40" s="108"/>
      <c r="L40" s="108"/>
      <c r="M40" s="108"/>
      <c r="N40" s="108"/>
      <c r="O40" s="108"/>
      <c r="P40" s="109"/>
      <c r="Q40" s="109"/>
      <c r="R40" s="109"/>
      <c r="S40" s="109"/>
      <c r="T40" s="109"/>
      <c r="U40" s="110"/>
    </row>
    <row r="41" spans="1:21" x14ac:dyDescent="0.2">
      <c r="A41" s="105"/>
      <c r="B41" s="106"/>
      <c r="C41" s="106"/>
      <c r="D41" s="106"/>
      <c r="E41" s="106"/>
      <c r="F41" s="106"/>
      <c r="G41" s="106"/>
      <c r="H41" s="106"/>
      <c r="I41" s="108"/>
      <c r="J41" s="108"/>
      <c r="K41" s="108"/>
      <c r="L41" s="108"/>
      <c r="M41" s="108"/>
      <c r="N41" s="108"/>
      <c r="O41" s="108"/>
      <c r="P41" s="109"/>
      <c r="Q41" s="109"/>
      <c r="R41" s="109"/>
      <c r="S41" s="109"/>
      <c r="T41" s="109"/>
      <c r="U41" s="110"/>
    </row>
    <row r="42" spans="1:21" ht="24" x14ac:dyDescent="0.3">
      <c r="A42" s="105"/>
      <c r="B42" s="106"/>
      <c r="C42" s="106"/>
      <c r="D42" s="106"/>
      <c r="E42" s="106"/>
      <c r="F42" s="106"/>
      <c r="G42" s="106"/>
      <c r="H42" s="106"/>
      <c r="I42" s="108"/>
      <c r="J42" s="108"/>
      <c r="K42" s="108"/>
      <c r="L42" s="108"/>
      <c r="M42" s="114" t="s">
        <v>127</v>
      </c>
      <c r="N42" s="108"/>
      <c r="O42" s="108"/>
      <c r="P42" s="109"/>
      <c r="Q42" s="109"/>
      <c r="R42" s="109"/>
      <c r="S42" s="109"/>
      <c r="T42" s="109"/>
      <c r="U42" s="110"/>
    </row>
    <row r="43" spans="1:21" x14ac:dyDescent="0.2">
      <c r="A43" s="105"/>
      <c r="B43" s="106"/>
      <c r="C43" s="106"/>
      <c r="D43" s="106"/>
      <c r="E43" s="106"/>
      <c r="F43" s="106"/>
      <c r="G43" s="106"/>
      <c r="H43" s="106"/>
      <c r="I43" s="108"/>
      <c r="J43" s="108"/>
      <c r="K43" s="108"/>
      <c r="L43" s="108"/>
      <c r="M43" s="108"/>
      <c r="N43" s="108"/>
      <c r="O43" s="108"/>
      <c r="P43" s="109"/>
      <c r="Q43" s="109"/>
      <c r="R43" s="109"/>
      <c r="S43" s="109"/>
      <c r="T43" s="109"/>
      <c r="U43" s="110"/>
    </row>
    <row r="44" spans="1:21" x14ac:dyDescent="0.2">
      <c r="A44" s="105"/>
      <c r="B44" s="106"/>
      <c r="C44" s="106"/>
      <c r="D44" s="106"/>
      <c r="E44" s="106"/>
      <c r="F44" s="106"/>
      <c r="G44" s="106"/>
      <c r="H44" s="106"/>
      <c r="I44" s="108"/>
      <c r="J44" s="108"/>
      <c r="K44" s="108"/>
      <c r="L44" s="108"/>
      <c r="M44" s="108"/>
      <c r="N44" s="108"/>
      <c r="O44" s="108"/>
      <c r="P44" s="109"/>
      <c r="Q44" s="109"/>
      <c r="R44" s="109"/>
      <c r="S44" s="109"/>
      <c r="T44" s="109"/>
      <c r="U44" s="110"/>
    </row>
    <row r="45" spans="1:21" ht="24" x14ac:dyDescent="0.3">
      <c r="A45" s="105"/>
      <c r="B45" s="106"/>
      <c r="C45" s="106"/>
      <c r="D45" s="106"/>
      <c r="E45" s="106"/>
      <c r="F45" s="106"/>
      <c r="G45" s="106"/>
      <c r="H45" s="106"/>
      <c r="I45" s="108"/>
      <c r="J45" s="108"/>
      <c r="K45" s="108"/>
      <c r="L45" s="108"/>
      <c r="M45" s="108"/>
      <c r="N45" s="114" t="s">
        <v>128</v>
      </c>
      <c r="O45" s="108"/>
      <c r="P45" s="109"/>
      <c r="Q45" s="109"/>
      <c r="R45" s="109"/>
      <c r="S45" s="109"/>
      <c r="T45" s="109"/>
      <c r="U45" s="110"/>
    </row>
    <row r="46" spans="1:21" x14ac:dyDescent="0.2">
      <c r="A46" s="105"/>
      <c r="B46" s="106"/>
      <c r="C46" s="106"/>
      <c r="D46" s="106"/>
      <c r="E46" s="106"/>
      <c r="F46" s="106"/>
      <c r="G46" s="106"/>
      <c r="H46" s="106"/>
      <c r="I46" s="108"/>
      <c r="J46" s="108"/>
      <c r="K46" s="108"/>
      <c r="L46" s="108"/>
      <c r="M46" s="108"/>
      <c r="N46" s="108"/>
      <c r="O46" s="108"/>
      <c r="P46" s="109"/>
      <c r="Q46" s="109"/>
      <c r="R46" s="109"/>
      <c r="S46" s="109"/>
      <c r="T46" s="109"/>
      <c r="U46" s="110"/>
    </row>
    <row r="47" spans="1:21" x14ac:dyDescent="0.2">
      <c r="A47" s="105"/>
      <c r="B47" s="106"/>
      <c r="C47" s="106"/>
      <c r="D47" s="106"/>
      <c r="E47" s="106"/>
      <c r="F47" s="106"/>
      <c r="G47" s="106"/>
      <c r="H47" s="106"/>
      <c r="I47" s="108"/>
      <c r="J47" s="108"/>
      <c r="K47" s="108"/>
      <c r="L47" s="108"/>
      <c r="M47" s="108"/>
      <c r="N47" s="199"/>
      <c r="O47" s="108"/>
      <c r="P47" s="109"/>
      <c r="Q47" s="109"/>
      <c r="R47" s="109"/>
      <c r="S47" s="109"/>
      <c r="T47" s="109"/>
      <c r="U47" s="110"/>
    </row>
    <row r="48" spans="1:21" x14ac:dyDescent="0.2">
      <c r="A48" s="105"/>
      <c r="B48" s="106"/>
      <c r="C48" s="106"/>
      <c r="D48" s="106"/>
      <c r="E48" s="106"/>
      <c r="F48" s="106"/>
      <c r="G48" s="106"/>
      <c r="H48" s="106"/>
      <c r="I48" s="108"/>
      <c r="J48" s="108"/>
      <c r="K48" s="108"/>
      <c r="L48" s="108"/>
      <c r="M48" s="108"/>
      <c r="N48" s="108"/>
      <c r="O48" s="108"/>
      <c r="P48" s="109"/>
      <c r="Q48" s="109"/>
      <c r="R48" s="109"/>
      <c r="S48" s="109"/>
      <c r="T48" s="109"/>
      <c r="U48" s="110"/>
    </row>
    <row r="49" spans="1:21" ht="24" x14ac:dyDescent="0.3">
      <c r="A49" s="105"/>
      <c r="B49" s="106"/>
      <c r="C49" s="113" t="s">
        <v>0</v>
      </c>
      <c r="D49" s="106"/>
      <c r="E49" s="113" t="s">
        <v>103</v>
      </c>
      <c r="F49" s="106"/>
      <c r="G49" s="106"/>
      <c r="H49" s="106"/>
      <c r="I49" s="108"/>
      <c r="J49" s="108"/>
      <c r="K49" s="108"/>
      <c r="L49" s="108"/>
      <c r="M49" s="108"/>
      <c r="N49" s="108"/>
      <c r="O49" s="108"/>
      <c r="P49" s="109"/>
      <c r="Q49" s="109"/>
      <c r="R49" s="109"/>
      <c r="S49" s="109"/>
      <c r="T49" s="109"/>
      <c r="U49" s="110"/>
    </row>
    <row r="50" spans="1:21" x14ac:dyDescent="0.2">
      <c r="A50" s="105"/>
      <c r="B50" s="106"/>
      <c r="C50" s="106"/>
      <c r="D50" s="106"/>
      <c r="E50" s="106"/>
      <c r="F50" s="106"/>
      <c r="G50" s="106"/>
      <c r="H50" s="106"/>
      <c r="I50" s="108"/>
      <c r="J50" s="108"/>
      <c r="K50" s="108"/>
      <c r="L50" s="108"/>
      <c r="M50" s="108"/>
      <c r="N50" s="108"/>
      <c r="O50" s="108"/>
      <c r="P50" s="109"/>
      <c r="Q50" s="109"/>
      <c r="R50" s="109"/>
      <c r="S50" s="109"/>
      <c r="T50" s="109"/>
      <c r="U50" s="110"/>
    </row>
    <row r="51" spans="1:21" x14ac:dyDescent="0.2">
      <c r="A51" s="105"/>
      <c r="B51" s="106"/>
      <c r="C51" s="106"/>
      <c r="D51" s="106"/>
      <c r="E51" s="106"/>
      <c r="F51" s="106"/>
      <c r="G51" s="106"/>
      <c r="H51" s="106"/>
      <c r="I51" s="108"/>
      <c r="J51" s="108"/>
      <c r="K51" s="108"/>
      <c r="L51" s="108"/>
      <c r="M51" s="108"/>
      <c r="N51" s="108"/>
      <c r="O51" s="108"/>
      <c r="P51" s="109"/>
      <c r="Q51" s="109"/>
      <c r="R51" s="109"/>
      <c r="S51" s="109"/>
      <c r="T51" s="109"/>
      <c r="U51" s="110"/>
    </row>
    <row r="52" spans="1:21" x14ac:dyDescent="0.2">
      <c r="A52" s="105"/>
      <c r="B52" s="106"/>
      <c r="C52" s="106"/>
      <c r="D52" s="106"/>
      <c r="E52" s="106"/>
      <c r="F52" s="106"/>
      <c r="G52" s="106"/>
      <c r="H52" s="106"/>
      <c r="I52" s="108"/>
      <c r="J52" s="108"/>
      <c r="K52" s="108"/>
      <c r="L52" s="108"/>
      <c r="M52" s="108"/>
      <c r="N52" s="108"/>
      <c r="O52" s="108"/>
      <c r="P52" s="109"/>
      <c r="Q52" s="109"/>
      <c r="R52" s="109"/>
      <c r="S52" s="109"/>
      <c r="T52" s="109"/>
      <c r="U52" s="110"/>
    </row>
    <row r="53" spans="1:21" x14ac:dyDescent="0.2">
      <c r="A53" s="105"/>
      <c r="B53" s="106"/>
      <c r="C53" s="106"/>
      <c r="D53" s="106"/>
      <c r="E53" s="106"/>
      <c r="F53" s="106"/>
      <c r="G53" s="106"/>
      <c r="H53" s="106"/>
      <c r="I53" s="108"/>
      <c r="J53" s="108"/>
      <c r="K53" s="108"/>
      <c r="L53" s="108"/>
      <c r="M53" s="108"/>
      <c r="N53" s="108"/>
      <c r="O53" s="108"/>
      <c r="P53" s="109"/>
      <c r="Q53" s="109"/>
      <c r="R53" s="109"/>
      <c r="S53" s="109"/>
      <c r="T53" s="109"/>
      <c r="U53" s="110"/>
    </row>
    <row r="54" spans="1:21" x14ac:dyDescent="0.2">
      <c r="A54" s="105"/>
      <c r="B54" s="106"/>
      <c r="C54" s="106"/>
      <c r="D54" s="106"/>
      <c r="E54" s="106"/>
      <c r="F54" s="106"/>
      <c r="G54" s="106"/>
      <c r="H54" s="106"/>
      <c r="I54" s="108"/>
      <c r="J54" s="108"/>
      <c r="K54" s="108"/>
      <c r="L54" s="108"/>
      <c r="M54" s="108"/>
      <c r="N54" s="108"/>
      <c r="O54" s="108"/>
      <c r="P54" s="109"/>
      <c r="Q54" s="109"/>
      <c r="R54" s="109"/>
      <c r="S54" s="109"/>
      <c r="T54" s="109"/>
      <c r="U54" s="110"/>
    </row>
    <row r="55" spans="1:21" x14ac:dyDescent="0.2">
      <c r="A55" s="105"/>
      <c r="B55" s="106"/>
      <c r="C55" s="106"/>
      <c r="D55" s="106"/>
      <c r="E55" s="106"/>
      <c r="F55" s="106"/>
      <c r="G55" s="106"/>
      <c r="H55" s="106"/>
      <c r="I55" s="108"/>
      <c r="J55" s="108"/>
      <c r="K55" s="108"/>
      <c r="L55" s="108"/>
      <c r="M55" s="108"/>
      <c r="N55" s="108"/>
      <c r="O55" s="108"/>
      <c r="P55" s="109"/>
      <c r="Q55" s="109"/>
      <c r="R55" s="109"/>
      <c r="S55" s="109"/>
      <c r="T55" s="109"/>
      <c r="U55" s="110"/>
    </row>
    <row r="56" spans="1:21" x14ac:dyDescent="0.2">
      <c r="A56" s="105"/>
      <c r="B56" s="106"/>
      <c r="C56" s="106"/>
      <c r="D56" s="106"/>
      <c r="E56" s="106"/>
      <c r="F56" s="106"/>
      <c r="G56" s="106"/>
      <c r="H56" s="106"/>
      <c r="I56" s="108"/>
      <c r="J56" s="108"/>
      <c r="K56" s="108"/>
      <c r="L56" s="108"/>
      <c r="M56" s="108"/>
      <c r="N56" s="108"/>
      <c r="O56" s="108"/>
      <c r="P56" s="109"/>
      <c r="Q56" s="109"/>
      <c r="R56" s="109"/>
      <c r="S56" s="109"/>
      <c r="T56" s="109"/>
      <c r="U56" s="110"/>
    </row>
    <row r="57" spans="1:21" ht="17" thickBot="1" x14ac:dyDescent="0.25">
      <c r="A57" s="198"/>
      <c r="B57" s="116"/>
      <c r="C57" s="116"/>
      <c r="D57" s="116"/>
      <c r="E57" s="116"/>
      <c r="F57" s="116"/>
      <c r="G57" s="116"/>
      <c r="H57" s="116"/>
      <c r="I57" s="115"/>
      <c r="J57" s="115"/>
      <c r="K57" s="115"/>
      <c r="L57" s="115"/>
      <c r="M57" s="115"/>
      <c r="N57" s="115"/>
      <c r="O57" s="115"/>
      <c r="P57" s="117"/>
      <c r="Q57" s="117"/>
      <c r="R57" s="117"/>
      <c r="S57" s="117"/>
      <c r="T57" s="117"/>
      <c r="U57" s="118"/>
    </row>
    <row r="101" spans="3:4" x14ac:dyDescent="0.2">
      <c r="D101" t="s">
        <v>402</v>
      </c>
    </row>
    <row r="104" spans="3:4" x14ac:dyDescent="0.2">
      <c r="C104" t="s">
        <v>217</v>
      </c>
      <c r="D104" t="s">
        <v>218</v>
      </c>
    </row>
    <row r="105" spans="3:4" x14ac:dyDescent="0.2">
      <c r="C105" t="s">
        <v>403</v>
      </c>
      <c r="D105" t="s">
        <v>404</v>
      </c>
    </row>
    <row r="106" spans="3:4" x14ac:dyDescent="0.2">
      <c r="C106" t="s">
        <v>405</v>
      </c>
      <c r="D106" t="s">
        <v>406</v>
      </c>
    </row>
  </sheetData>
  <mergeCells count="9">
    <mergeCell ref="T1:U1"/>
    <mergeCell ref="T2:U2"/>
    <mergeCell ref="D4:T8"/>
    <mergeCell ref="A10:U11"/>
    <mergeCell ref="C13:E13"/>
    <mergeCell ref="Q13:S13"/>
    <mergeCell ref="A1:B2"/>
    <mergeCell ref="C1:R2"/>
    <mergeCell ref="K13:M13"/>
  </mergeCells>
  <printOptions horizontalCentered="1"/>
  <pageMargins left="0.25" right="0.25" top="0.75" bottom="0.75" header="0.3" footer="0.3"/>
  <pageSetup paperSize="9" scale="51" orientation="landscape" horizontalDpi="0" verticalDpi="0"/>
  <colBreaks count="1" manualBreakCount="1">
    <brk id="21" max="1048575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E3C9-EE8B-FD48-B606-399295CAFE1D}">
  <dimension ref="A1:Q291"/>
  <sheetViews>
    <sheetView showGridLines="0" view="pageBreakPreview" topLeftCell="A250" zoomScaleNormal="100" zoomScaleSheetLayoutView="100" workbookViewId="0">
      <selection sqref="A1:B2"/>
    </sheetView>
  </sheetViews>
  <sheetFormatPr baseColWidth="10" defaultRowHeight="16" x14ac:dyDescent="0.2"/>
  <cols>
    <col min="15" max="15" width="14.83203125" customWidth="1"/>
    <col min="16" max="16" width="13.83203125" customWidth="1"/>
  </cols>
  <sheetData>
    <row r="1" spans="1:17" ht="43" customHeight="1" x14ac:dyDescent="0.2">
      <c r="A1" s="301" t="s">
        <v>22</v>
      </c>
      <c r="B1" s="302"/>
      <c r="C1" s="305" t="str">
        <f>Cover!A31</f>
        <v>Food_Lab</v>
      </c>
      <c r="D1" s="306"/>
      <c r="E1" s="306"/>
      <c r="F1" s="306"/>
      <c r="G1" s="306"/>
      <c r="H1" s="306"/>
      <c r="I1" s="306"/>
      <c r="J1" s="306"/>
      <c r="K1" s="306"/>
      <c r="L1" s="306"/>
      <c r="M1" s="307"/>
      <c r="N1" s="307"/>
      <c r="O1" s="19" t="s">
        <v>21</v>
      </c>
      <c r="P1" s="311">
        <v>44555</v>
      </c>
      <c r="Q1" s="312"/>
    </row>
    <row r="2" spans="1:17" ht="43" customHeight="1" thickBot="1" x14ac:dyDescent="0.25">
      <c r="A2" s="303"/>
      <c r="B2" s="304"/>
      <c r="C2" s="308"/>
      <c r="D2" s="309"/>
      <c r="E2" s="309"/>
      <c r="F2" s="309"/>
      <c r="G2" s="309"/>
      <c r="H2" s="309"/>
      <c r="I2" s="309"/>
      <c r="J2" s="309"/>
      <c r="K2" s="309"/>
      <c r="L2" s="309"/>
      <c r="M2" s="310"/>
      <c r="N2" s="310"/>
      <c r="O2" s="20" t="s">
        <v>20</v>
      </c>
      <c r="P2" s="313">
        <f ca="1">NOW()</f>
        <v>44662.727361805555</v>
      </c>
      <c r="Q2" s="314"/>
    </row>
    <row r="3" spans="1:17" ht="17" thickBot="1" x14ac:dyDescent="0.25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0"/>
    </row>
    <row r="4" spans="1:17" ht="21" x14ac:dyDescent="0.25">
      <c r="A4" s="17" t="s">
        <v>23</v>
      </c>
      <c r="B4" s="3"/>
      <c r="C4" s="3"/>
      <c r="D4" s="352" t="s">
        <v>64</v>
      </c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4"/>
      <c r="Q4" s="10"/>
    </row>
    <row r="5" spans="1:17" x14ac:dyDescent="0.2">
      <c r="A5" s="18" t="s">
        <v>24</v>
      </c>
      <c r="B5" s="3"/>
      <c r="C5" s="3"/>
      <c r="D5" s="355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7"/>
      <c r="Q5" s="10"/>
    </row>
    <row r="6" spans="1:17" x14ac:dyDescent="0.2">
      <c r="A6" s="9"/>
      <c r="B6" s="3"/>
      <c r="C6" s="3"/>
      <c r="D6" s="355"/>
      <c r="E6" s="356"/>
      <c r="F6" s="356"/>
      <c r="G6" s="356"/>
      <c r="H6" s="356"/>
      <c r="I6" s="356"/>
      <c r="J6" s="356"/>
      <c r="K6" s="356"/>
      <c r="L6" s="356"/>
      <c r="M6" s="356"/>
      <c r="N6" s="356"/>
      <c r="O6" s="356"/>
      <c r="P6" s="357"/>
      <c r="Q6" s="10"/>
    </row>
    <row r="7" spans="1:17" x14ac:dyDescent="0.2">
      <c r="A7" s="9"/>
      <c r="B7" s="3"/>
      <c r="C7" s="3"/>
      <c r="D7" s="355"/>
      <c r="E7" s="356"/>
      <c r="F7" s="356"/>
      <c r="G7" s="356"/>
      <c r="H7" s="356"/>
      <c r="I7" s="356"/>
      <c r="J7" s="356"/>
      <c r="K7" s="356"/>
      <c r="L7" s="356"/>
      <c r="M7" s="356"/>
      <c r="N7" s="356"/>
      <c r="O7" s="356"/>
      <c r="P7" s="357"/>
      <c r="Q7" s="10"/>
    </row>
    <row r="8" spans="1:17" ht="17" thickBot="1" x14ac:dyDescent="0.25">
      <c r="A8" s="9"/>
      <c r="B8" s="3"/>
      <c r="C8" s="3"/>
      <c r="D8" s="358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60"/>
      <c r="Q8" s="10"/>
    </row>
    <row r="9" spans="1:17" ht="17" thickBot="1" x14ac:dyDescent="0.25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0"/>
    </row>
    <row r="10" spans="1:17" x14ac:dyDescent="0.2">
      <c r="A10" s="350" t="s">
        <v>25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51"/>
    </row>
    <row r="11" spans="1:17" x14ac:dyDescent="0.2">
      <c r="A11" s="336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8"/>
    </row>
    <row r="12" spans="1:17" x14ac:dyDescent="0.2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0"/>
    </row>
    <row r="13" spans="1:17" s="2" customFormat="1" ht="24" x14ac:dyDescent="0.3">
      <c r="A13" s="15"/>
      <c r="B13" s="44" t="s">
        <v>26</v>
      </c>
      <c r="C13" s="58" t="s">
        <v>90</v>
      </c>
      <c r="D13" s="44"/>
      <c r="E13" s="14"/>
      <c r="F13" s="14"/>
      <c r="G13" s="3"/>
      <c r="H13" s="3"/>
      <c r="I13" s="3"/>
      <c r="J13" s="3"/>
      <c r="K13" s="3"/>
      <c r="L13" s="3"/>
      <c r="M13" s="3"/>
      <c r="N13" s="3"/>
      <c r="O13" s="5" t="s">
        <v>91</v>
      </c>
      <c r="P13" s="14"/>
      <c r="Q13" s="22"/>
    </row>
    <row r="14" spans="1:17" ht="24" x14ac:dyDescent="0.3">
      <c r="A14" s="9"/>
      <c r="B14" s="44"/>
      <c r="C14" s="44"/>
      <c r="D14" s="44"/>
      <c r="E14" s="3"/>
      <c r="F14" s="3"/>
      <c r="G14" s="3"/>
      <c r="H14" s="3"/>
      <c r="I14" s="3"/>
      <c r="J14" s="3"/>
      <c r="K14" s="3"/>
      <c r="L14" s="3"/>
      <c r="M14" s="3"/>
      <c r="N14" s="44"/>
      <c r="O14" s="44"/>
      <c r="P14" s="44"/>
      <c r="Q14" s="10"/>
    </row>
    <row r="15" spans="1:17" ht="24" x14ac:dyDescent="0.3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0"/>
      <c r="O15" s="23" t="s">
        <v>93</v>
      </c>
      <c r="P15" s="44"/>
      <c r="Q15" s="10"/>
    </row>
    <row r="16" spans="1:17" ht="24" x14ac:dyDescent="0.3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1"/>
      <c r="O16" s="23" t="s">
        <v>92</v>
      </c>
      <c r="P16" s="44"/>
      <c r="Q16" s="10"/>
    </row>
    <row r="17" spans="1:17" ht="24" x14ac:dyDescent="0.3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2"/>
      <c r="O17" s="93" t="s">
        <v>94</v>
      </c>
      <c r="P17" s="44"/>
      <c r="Q17" s="10"/>
    </row>
    <row r="18" spans="1:17" ht="24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4"/>
      <c r="O18" s="44"/>
      <c r="P18" s="44"/>
      <c r="Q18" s="10"/>
    </row>
    <row r="19" spans="1:17" x14ac:dyDescent="0.2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0"/>
    </row>
    <row r="20" spans="1:17" x14ac:dyDescent="0.2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</row>
    <row r="21" spans="1:17" x14ac:dyDescent="0.2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</row>
    <row r="22" spans="1:17" x14ac:dyDescent="0.2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7"/>
    </row>
    <row r="23" spans="1:17" x14ac:dyDescent="0.2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7"/>
    </row>
    <row r="24" spans="1:17" x14ac:dyDescent="0.2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7"/>
    </row>
    <row r="25" spans="1:17" x14ac:dyDescent="0.2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</row>
    <row r="26" spans="1:17" x14ac:dyDescent="0.2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7"/>
    </row>
    <row r="27" spans="1:17" x14ac:dyDescent="0.2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7"/>
    </row>
    <row r="28" spans="1:17" x14ac:dyDescent="0.2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0"/>
    </row>
    <row r="29" spans="1:17" x14ac:dyDescent="0.2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0"/>
    </row>
    <row r="30" spans="1:17" x14ac:dyDescent="0.2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0"/>
    </row>
    <row r="31" spans="1:17" ht="20" customHeight="1" x14ac:dyDescent="1.0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3"/>
      <c r="P31" s="3"/>
      <c r="Q31" s="10"/>
    </row>
    <row r="32" spans="1:17" x14ac:dyDescent="0.2">
      <c r="A32" s="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0"/>
    </row>
    <row r="33" spans="1:17" x14ac:dyDescent="0.2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0"/>
    </row>
    <row r="34" spans="1:17" ht="19" customHeight="1" x14ac:dyDescent="0.55000000000000004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3"/>
      <c r="P34" s="3"/>
      <c r="Q34" s="10"/>
    </row>
    <row r="35" spans="1:17" x14ac:dyDescent="0.2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0"/>
    </row>
    <row r="36" spans="1:17" x14ac:dyDescent="0.2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0"/>
    </row>
    <row r="37" spans="1:17" x14ac:dyDescent="0.2">
      <c r="A37" s="9"/>
      <c r="B37" s="3"/>
      <c r="C37" s="3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10"/>
    </row>
    <row r="38" spans="1:17" x14ac:dyDescent="0.2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0"/>
    </row>
    <row r="39" spans="1:17" x14ac:dyDescent="0.2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0"/>
    </row>
    <row r="40" spans="1:17" x14ac:dyDescent="0.2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"/>
    </row>
    <row r="41" spans="1:17" x14ac:dyDescent="0.2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0"/>
    </row>
    <row r="42" spans="1:17" x14ac:dyDescent="0.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</row>
    <row r="43" spans="1:17" x14ac:dyDescent="0.2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0"/>
    </row>
    <row r="44" spans="1:17" x14ac:dyDescent="0.2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0"/>
    </row>
    <row r="45" spans="1:17" x14ac:dyDescent="0.2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0"/>
    </row>
    <row r="46" spans="1:17" x14ac:dyDescent="0.2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0"/>
    </row>
    <row r="47" spans="1:17" x14ac:dyDescent="0.2">
      <c r="A47" s="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0"/>
    </row>
    <row r="48" spans="1:17" x14ac:dyDescent="0.2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0"/>
    </row>
    <row r="49" spans="1:17" x14ac:dyDescent="0.2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0"/>
    </row>
    <row r="50" spans="1:17" x14ac:dyDescent="0.2">
      <c r="A50" s="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0"/>
    </row>
    <row r="51" spans="1:17" x14ac:dyDescent="0.2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0"/>
    </row>
    <row r="52" spans="1:17" x14ac:dyDescent="0.2">
      <c r="A52" s="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0"/>
    </row>
    <row r="53" spans="1:17" x14ac:dyDescent="0.2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0"/>
    </row>
    <row r="54" spans="1:17" ht="17" thickBot="1" x14ac:dyDescent="0.2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</row>
    <row r="55" spans="1:17" x14ac:dyDescent="0.2">
      <c r="A55" s="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0"/>
    </row>
    <row r="56" spans="1:17" x14ac:dyDescent="0.2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0"/>
    </row>
    <row r="57" spans="1:17" ht="24" x14ac:dyDescent="0.3">
      <c r="A57" s="9"/>
      <c r="B57" s="3"/>
      <c r="C57" s="3"/>
      <c r="D57" s="44"/>
      <c r="E57" s="44"/>
      <c r="F57" s="44"/>
      <c r="G57" s="3"/>
      <c r="H57" s="3"/>
      <c r="I57" s="3"/>
      <c r="J57" s="3"/>
      <c r="K57" s="3"/>
      <c r="L57" s="3"/>
      <c r="M57" s="3"/>
      <c r="N57" s="3"/>
      <c r="O57" s="3"/>
      <c r="P57" s="3"/>
      <c r="Q57" s="10"/>
    </row>
    <row r="58" spans="1:17" ht="24" x14ac:dyDescent="0.3">
      <c r="A58" s="9"/>
      <c r="B58" s="3"/>
      <c r="C58" s="3"/>
      <c r="D58" s="44"/>
      <c r="E58" s="44"/>
      <c r="F58" s="44"/>
      <c r="G58" s="3"/>
      <c r="H58" s="3"/>
      <c r="I58" s="3"/>
      <c r="J58" s="3"/>
      <c r="K58" s="3"/>
      <c r="L58" s="3"/>
      <c r="M58" s="3"/>
      <c r="N58" s="3"/>
      <c r="O58" s="3"/>
      <c r="P58" s="3"/>
      <c r="Q58" s="10"/>
    </row>
    <row r="59" spans="1:17" ht="24" x14ac:dyDescent="0.3">
      <c r="A59" s="9"/>
      <c r="B59" s="3"/>
      <c r="C59" s="3"/>
      <c r="D59" s="44"/>
      <c r="E59" s="44"/>
      <c r="F59" s="44"/>
      <c r="G59" s="3"/>
      <c r="H59" s="3"/>
      <c r="I59" s="3"/>
      <c r="J59" s="3"/>
      <c r="K59" s="3"/>
      <c r="L59" s="3"/>
      <c r="M59" s="3"/>
      <c r="N59" s="3"/>
      <c r="O59" s="3"/>
      <c r="P59" s="3"/>
      <c r="Q59" s="10"/>
    </row>
    <row r="60" spans="1:17" ht="24" x14ac:dyDescent="0.3">
      <c r="A60" s="9"/>
      <c r="B60" s="3"/>
      <c r="C60" s="3"/>
      <c r="D60" s="44"/>
      <c r="E60" s="44"/>
      <c r="F60" s="44"/>
      <c r="G60" s="3"/>
      <c r="H60" s="3"/>
      <c r="I60" s="3"/>
      <c r="J60" s="3"/>
      <c r="K60" s="3"/>
      <c r="L60" s="3"/>
      <c r="M60" s="3"/>
      <c r="N60" s="3"/>
      <c r="O60" s="3"/>
      <c r="P60" s="3"/>
      <c r="Q60" s="10"/>
    </row>
    <row r="61" spans="1:17" ht="24" x14ac:dyDescent="0.3">
      <c r="A61" s="9"/>
      <c r="B61" s="3"/>
      <c r="C61" s="3"/>
      <c r="D61" s="44"/>
      <c r="E61" s="44"/>
      <c r="F61" s="44"/>
      <c r="G61" s="3"/>
      <c r="H61" s="3"/>
      <c r="I61" s="3"/>
      <c r="J61" s="3"/>
      <c r="K61" s="3"/>
      <c r="L61" s="3"/>
      <c r="M61" s="3"/>
      <c r="N61" s="3"/>
      <c r="O61" s="3"/>
      <c r="P61" s="3"/>
      <c r="Q61" s="10"/>
    </row>
    <row r="62" spans="1:17" ht="24" x14ac:dyDescent="0.3">
      <c r="A62" s="9"/>
      <c r="B62" s="3"/>
      <c r="C62" s="3"/>
      <c r="D62" s="44"/>
      <c r="E62" s="44"/>
      <c r="F62" s="44"/>
      <c r="G62" s="3"/>
      <c r="H62" s="3"/>
      <c r="I62" s="3"/>
      <c r="J62" s="3"/>
      <c r="K62" s="3"/>
      <c r="L62" s="3"/>
      <c r="M62" s="3"/>
      <c r="N62" s="3"/>
      <c r="O62" s="3"/>
      <c r="P62" s="3"/>
      <c r="Q62" s="10"/>
    </row>
    <row r="63" spans="1:17" ht="21" x14ac:dyDescent="0.25">
      <c r="A63" s="9"/>
      <c r="B63" s="3"/>
      <c r="C63" s="3"/>
      <c r="D63" s="3"/>
      <c r="E63" s="3"/>
      <c r="F63" s="3"/>
      <c r="G63" s="3"/>
      <c r="H63" s="3"/>
      <c r="I63" s="3"/>
      <c r="J63" s="3"/>
      <c r="K63" s="5"/>
      <c r="L63" s="5"/>
      <c r="M63" s="5"/>
      <c r="N63" s="3"/>
      <c r="O63" s="3"/>
      <c r="P63" s="3"/>
      <c r="Q63" s="10"/>
    </row>
    <row r="64" spans="1:17" ht="21" x14ac:dyDescent="0.25">
      <c r="A64" s="9"/>
      <c r="B64" s="3"/>
      <c r="C64" s="3"/>
      <c r="D64" s="3"/>
      <c r="E64" s="3"/>
      <c r="F64" s="3"/>
      <c r="G64" s="3"/>
      <c r="H64" s="3"/>
      <c r="I64" s="3"/>
      <c r="J64" s="3"/>
      <c r="K64" s="5"/>
      <c r="L64" s="5"/>
      <c r="M64" s="5"/>
      <c r="N64" s="3"/>
      <c r="O64" s="3"/>
      <c r="P64" s="3"/>
      <c r="Q64" s="10"/>
    </row>
    <row r="65" spans="1:17" x14ac:dyDescent="0.2">
      <c r="A65" s="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0"/>
    </row>
    <row r="66" spans="1:17" x14ac:dyDescent="0.2">
      <c r="A66" s="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0"/>
    </row>
    <row r="67" spans="1:17" x14ac:dyDescent="0.2">
      <c r="A67" s="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0"/>
    </row>
    <row r="68" spans="1:17" x14ac:dyDescent="0.2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0"/>
    </row>
    <row r="69" spans="1:17" x14ac:dyDescent="0.2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0"/>
    </row>
    <row r="70" spans="1:17" x14ac:dyDescent="0.2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0"/>
    </row>
    <row r="71" spans="1:17" x14ac:dyDescent="0.2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0"/>
    </row>
    <row r="72" spans="1:17" x14ac:dyDescent="0.2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0"/>
    </row>
    <row r="73" spans="1:17" x14ac:dyDescent="0.2">
      <c r="A73" s="9"/>
      <c r="B73" s="3"/>
      <c r="C73" s="3"/>
      <c r="D73" s="3"/>
      <c r="E73" s="3"/>
      <c r="F73" s="3"/>
      <c r="G73" s="3"/>
      <c r="I73" s="3"/>
      <c r="J73" s="3"/>
      <c r="K73" s="3"/>
      <c r="L73" s="3"/>
      <c r="M73" s="3"/>
      <c r="N73" s="3"/>
      <c r="O73" s="3"/>
      <c r="P73" s="3"/>
      <c r="Q73" s="10"/>
    </row>
    <row r="74" spans="1:17" x14ac:dyDescent="0.2">
      <c r="A74" s="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0"/>
    </row>
    <row r="75" spans="1:17" x14ac:dyDescent="0.2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0"/>
    </row>
    <row r="76" spans="1:17" x14ac:dyDescent="0.2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0"/>
    </row>
    <row r="77" spans="1:17" ht="17" thickBot="1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3"/>
    </row>
    <row r="78" spans="1:17" x14ac:dyDescent="0.2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</row>
    <row r="79" spans="1:17" x14ac:dyDescent="0.2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0"/>
    </row>
    <row r="80" spans="1:17" x14ac:dyDescent="0.2">
      <c r="A80" s="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0"/>
    </row>
    <row r="81" spans="1:17" x14ac:dyDescent="0.2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0"/>
    </row>
    <row r="82" spans="1:17" x14ac:dyDescent="0.2">
      <c r="A82" s="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0"/>
    </row>
    <row r="83" spans="1:17" x14ac:dyDescent="0.2">
      <c r="A83" s="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0"/>
    </row>
    <row r="84" spans="1:17" x14ac:dyDescent="0.2">
      <c r="A84" s="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0"/>
    </row>
    <row r="85" spans="1:17" x14ac:dyDescent="0.2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0"/>
    </row>
    <row r="86" spans="1:17" x14ac:dyDescent="0.2">
      <c r="A86" s="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0"/>
    </row>
    <row r="87" spans="1:17" x14ac:dyDescent="0.2">
      <c r="A87" s="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0"/>
    </row>
    <row r="88" spans="1:17" x14ac:dyDescent="0.2">
      <c r="A88" s="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0"/>
    </row>
    <row r="89" spans="1:17" x14ac:dyDescent="0.2">
      <c r="A89" s="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0"/>
    </row>
    <row r="90" spans="1:17" x14ac:dyDescent="0.2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0"/>
    </row>
    <row r="91" spans="1:17" x14ac:dyDescent="0.2">
      <c r="A91" s="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0"/>
    </row>
    <row r="92" spans="1:17" x14ac:dyDescent="0.2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0"/>
    </row>
    <row r="93" spans="1:17" x14ac:dyDescent="0.2">
      <c r="A93" s="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0"/>
    </row>
    <row r="94" spans="1:17" x14ac:dyDescent="0.2">
      <c r="A94" s="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0"/>
    </row>
    <row r="95" spans="1:17" x14ac:dyDescent="0.2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0"/>
    </row>
    <row r="96" spans="1:17" x14ac:dyDescent="0.2">
      <c r="A96" s="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0"/>
    </row>
    <row r="97" spans="1:17" x14ac:dyDescent="0.2">
      <c r="A97" s="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0"/>
    </row>
    <row r="98" spans="1:17" x14ac:dyDescent="0.2">
      <c r="A98" s="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0"/>
    </row>
    <row r="99" spans="1:17" x14ac:dyDescent="0.2">
      <c r="A99" s="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0"/>
    </row>
    <row r="100" spans="1:17" x14ac:dyDescent="0.2">
      <c r="A100" s="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0"/>
    </row>
    <row r="101" spans="1:17" x14ac:dyDescent="0.2">
      <c r="A101" s="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0"/>
    </row>
    <row r="102" spans="1:17" ht="17" thickBot="1" x14ac:dyDescent="0.25">
      <c r="A102" s="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0"/>
    </row>
    <row r="103" spans="1:17" x14ac:dyDescent="0.2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</row>
    <row r="104" spans="1:17" x14ac:dyDescent="0.2">
      <c r="A104" s="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0"/>
    </row>
    <row r="105" spans="1:17" x14ac:dyDescent="0.2">
      <c r="A105" s="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0"/>
    </row>
    <row r="106" spans="1:17" x14ac:dyDescent="0.2">
      <c r="A106" s="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0"/>
    </row>
    <row r="107" spans="1:17" x14ac:dyDescent="0.2">
      <c r="A107" s="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0"/>
    </row>
    <row r="108" spans="1:17" x14ac:dyDescent="0.2">
      <c r="A108" s="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0"/>
    </row>
    <row r="109" spans="1:17" x14ac:dyDescent="0.2">
      <c r="A109" s="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0"/>
    </row>
    <row r="110" spans="1:17" x14ac:dyDescent="0.2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0"/>
    </row>
    <row r="111" spans="1:17" x14ac:dyDescent="0.2">
      <c r="A111" s="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0"/>
    </row>
    <row r="112" spans="1:17" x14ac:dyDescent="0.2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0"/>
    </row>
    <row r="113" spans="1:17" x14ac:dyDescent="0.2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0"/>
    </row>
    <row r="114" spans="1:17" x14ac:dyDescent="0.2">
      <c r="A114" s="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0"/>
    </row>
    <row r="115" spans="1:17" x14ac:dyDescent="0.2">
      <c r="A115" s="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0"/>
    </row>
    <row r="116" spans="1:17" x14ac:dyDescent="0.2">
      <c r="A116" s="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0"/>
    </row>
    <row r="117" spans="1:17" x14ac:dyDescent="0.2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0"/>
    </row>
    <row r="118" spans="1:17" x14ac:dyDescent="0.2">
      <c r="A118" s="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0"/>
    </row>
    <row r="119" spans="1:17" x14ac:dyDescent="0.2">
      <c r="A119" s="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0"/>
    </row>
    <row r="120" spans="1:17" x14ac:dyDescent="0.2">
      <c r="A120" s="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0"/>
    </row>
    <row r="121" spans="1:17" x14ac:dyDescent="0.2">
      <c r="A121" s="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0"/>
    </row>
    <row r="122" spans="1:17" x14ac:dyDescent="0.2">
      <c r="A122" s="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0"/>
    </row>
    <row r="123" spans="1:17" x14ac:dyDescent="0.2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0"/>
    </row>
    <row r="124" spans="1:17" x14ac:dyDescent="0.2">
      <c r="A124" s="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0"/>
    </row>
    <row r="125" spans="1:17" x14ac:dyDescent="0.2">
      <c r="A125" s="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0"/>
    </row>
    <row r="126" spans="1:17" x14ac:dyDescent="0.2">
      <c r="A126" s="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0"/>
    </row>
    <row r="127" spans="1:17" x14ac:dyDescent="0.2">
      <c r="A127" s="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0"/>
    </row>
    <row r="128" spans="1:17" x14ac:dyDescent="0.2">
      <c r="A128" s="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0"/>
    </row>
    <row r="129" spans="1:17" x14ac:dyDescent="0.2">
      <c r="A129" s="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0"/>
    </row>
    <row r="130" spans="1:17" x14ac:dyDescent="0.2">
      <c r="A130" s="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0"/>
    </row>
    <row r="131" spans="1:17" x14ac:dyDescent="0.2">
      <c r="A131" s="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0"/>
    </row>
    <row r="132" spans="1:17" x14ac:dyDescent="0.2">
      <c r="A132" s="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0"/>
    </row>
    <row r="133" spans="1:17" x14ac:dyDescent="0.2">
      <c r="A133" s="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0"/>
    </row>
    <row r="134" spans="1:17" x14ac:dyDescent="0.2">
      <c r="A134" s="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0"/>
    </row>
    <row r="135" spans="1:17" x14ac:dyDescent="0.2">
      <c r="A135" s="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0"/>
    </row>
    <row r="136" spans="1:17" x14ac:dyDescent="0.2">
      <c r="A136" s="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0"/>
    </row>
    <row r="137" spans="1:17" x14ac:dyDescent="0.2">
      <c r="A137" s="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0"/>
    </row>
    <row r="138" spans="1:17" x14ac:dyDescent="0.2">
      <c r="A138" s="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0"/>
    </row>
    <row r="139" spans="1:17" x14ac:dyDescent="0.2">
      <c r="A139" s="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0"/>
    </row>
    <row r="140" spans="1:17" x14ac:dyDescent="0.2">
      <c r="A140" s="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0"/>
    </row>
    <row r="141" spans="1:17" x14ac:dyDescent="0.2">
      <c r="A141" s="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0"/>
    </row>
    <row r="142" spans="1:17" x14ac:dyDescent="0.2">
      <c r="A142" s="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0"/>
    </row>
    <row r="143" spans="1:17" x14ac:dyDescent="0.2">
      <c r="A143" s="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0"/>
    </row>
    <row r="144" spans="1:17" x14ac:dyDescent="0.2">
      <c r="A144" s="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0"/>
    </row>
    <row r="145" spans="1:17" x14ac:dyDescent="0.2">
      <c r="A145" s="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0"/>
    </row>
    <row r="146" spans="1:17" x14ac:dyDescent="0.2">
      <c r="A146" s="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0"/>
    </row>
    <row r="147" spans="1:17" x14ac:dyDescent="0.2">
      <c r="A147" s="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0"/>
    </row>
    <row r="148" spans="1:17" x14ac:dyDescent="0.2">
      <c r="A148" s="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0"/>
    </row>
    <row r="149" spans="1:17" x14ac:dyDescent="0.2">
      <c r="A149" s="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0"/>
    </row>
    <row r="150" spans="1:17" x14ac:dyDescent="0.2">
      <c r="A150" s="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0"/>
    </row>
    <row r="151" spans="1:17" x14ac:dyDescent="0.2">
      <c r="A151" s="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0"/>
    </row>
    <row r="152" spans="1:17" x14ac:dyDescent="0.2">
      <c r="A152" s="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0"/>
    </row>
    <row r="153" spans="1:17" x14ac:dyDescent="0.2">
      <c r="A153" s="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0"/>
    </row>
    <row r="154" spans="1:17" x14ac:dyDescent="0.2">
      <c r="A154" s="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0"/>
    </row>
    <row r="155" spans="1:17" x14ac:dyDescent="0.2">
      <c r="A155" s="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0"/>
    </row>
    <row r="156" spans="1:17" x14ac:dyDescent="0.2">
      <c r="A156" s="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0"/>
    </row>
    <row r="157" spans="1:17" x14ac:dyDescent="0.2">
      <c r="A157" s="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0"/>
    </row>
    <row r="158" spans="1:17" x14ac:dyDescent="0.2">
      <c r="A158" s="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0"/>
    </row>
    <row r="159" spans="1:17" x14ac:dyDescent="0.2">
      <c r="A159" s="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0"/>
    </row>
    <row r="160" spans="1:17" x14ac:dyDescent="0.2">
      <c r="A160" s="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0"/>
    </row>
    <row r="161" spans="1:17" x14ac:dyDescent="0.2">
      <c r="A161" s="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0"/>
    </row>
    <row r="162" spans="1:17" x14ac:dyDescent="0.2">
      <c r="A162" s="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0"/>
    </row>
    <row r="163" spans="1:17" x14ac:dyDescent="0.2">
      <c r="A163" s="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0"/>
    </row>
    <row r="164" spans="1:17" x14ac:dyDescent="0.2">
      <c r="A164" s="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0"/>
    </row>
    <row r="165" spans="1:17" x14ac:dyDescent="0.2">
      <c r="A165" s="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0"/>
    </row>
    <row r="166" spans="1:17" x14ac:dyDescent="0.2">
      <c r="A166" s="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0"/>
    </row>
    <row r="167" spans="1:17" x14ac:dyDescent="0.2">
      <c r="A167" s="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0"/>
    </row>
    <row r="168" spans="1:17" x14ac:dyDescent="0.2">
      <c r="A168" s="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0"/>
    </row>
    <row r="169" spans="1:17" x14ac:dyDescent="0.2">
      <c r="A169" s="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0"/>
    </row>
    <row r="170" spans="1:17" ht="17" thickBot="1" x14ac:dyDescent="0.25">
      <c r="A170" s="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0"/>
    </row>
    <row r="171" spans="1:17" x14ac:dyDescent="0.2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</row>
    <row r="172" spans="1:17" x14ac:dyDescent="0.2">
      <c r="A172" s="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0"/>
    </row>
    <row r="173" spans="1:17" x14ac:dyDescent="0.2">
      <c r="A173" s="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0"/>
    </row>
    <row r="174" spans="1:17" x14ac:dyDescent="0.2">
      <c r="A174" s="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0"/>
    </row>
    <row r="175" spans="1:17" x14ac:dyDescent="0.2">
      <c r="A175" s="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0"/>
    </row>
    <row r="176" spans="1:17" x14ac:dyDescent="0.2">
      <c r="A176" s="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0"/>
    </row>
    <row r="177" spans="1:17" x14ac:dyDescent="0.2">
      <c r="A177" s="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0"/>
    </row>
    <row r="178" spans="1:17" x14ac:dyDescent="0.2">
      <c r="A178" s="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0"/>
    </row>
    <row r="179" spans="1:17" x14ac:dyDescent="0.2">
      <c r="A179" s="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0"/>
    </row>
    <row r="180" spans="1:17" x14ac:dyDescent="0.2">
      <c r="A180" s="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0"/>
    </row>
    <row r="181" spans="1:17" x14ac:dyDescent="0.2">
      <c r="A181" s="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0"/>
    </row>
    <row r="182" spans="1:17" x14ac:dyDescent="0.2">
      <c r="A182" s="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0"/>
    </row>
    <row r="183" spans="1:17" x14ac:dyDescent="0.2">
      <c r="A183" s="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0"/>
    </row>
    <row r="184" spans="1:17" x14ac:dyDescent="0.2">
      <c r="A184" s="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0"/>
    </row>
    <row r="185" spans="1:17" x14ac:dyDescent="0.2">
      <c r="A185" s="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0"/>
    </row>
    <row r="186" spans="1:17" x14ac:dyDescent="0.2">
      <c r="A186" s="9"/>
      <c r="B186" s="3"/>
      <c r="C186" s="3"/>
      <c r="D186" s="3"/>
      <c r="E186" s="3"/>
      <c r="F186" s="3"/>
      <c r="G186" s="3"/>
      <c r="H186" s="3" t="s">
        <v>95</v>
      </c>
      <c r="I186" s="3"/>
      <c r="J186" s="3"/>
      <c r="K186" s="3"/>
      <c r="L186" s="3"/>
      <c r="M186" s="3"/>
      <c r="N186" s="3"/>
      <c r="O186" s="3"/>
      <c r="P186" s="3"/>
      <c r="Q186" s="10"/>
    </row>
    <row r="187" spans="1:17" x14ac:dyDescent="0.2">
      <c r="A187" s="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0"/>
    </row>
    <row r="188" spans="1:17" x14ac:dyDescent="0.2">
      <c r="A188" s="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0"/>
    </row>
    <row r="189" spans="1:17" x14ac:dyDescent="0.2">
      <c r="A189" s="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0"/>
    </row>
    <row r="190" spans="1:17" x14ac:dyDescent="0.2">
      <c r="A190" s="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0"/>
    </row>
    <row r="191" spans="1:17" x14ac:dyDescent="0.2">
      <c r="A191" s="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0"/>
    </row>
    <row r="192" spans="1:17" x14ac:dyDescent="0.2">
      <c r="A192" s="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0"/>
    </row>
    <row r="193" spans="1:17" x14ac:dyDescent="0.2">
      <c r="A193" s="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0"/>
    </row>
    <row r="194" spans="1:17" x14ac:dyDescent="0.2">
      <c r="A194" s="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0"/>
    </row>
    <row r="195" spans="1:17" x14ac:dyDescent="0.2">
      <c r="A195" s="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0"/>
    </row>
    <row r="196" spans="1:17" x14ac:dyDescent="0.2">
      <c r="A196" s="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0"/>
    </row>
    <row r="197" spans="1:17" x14ac:dyDescent="0.2">
      <c r="A197" s="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0"/>
    </row>
    <row r="198" spans="1:17" x14ac:dyDescent="0.2">
      <c r="A198" s="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0"/>
    </row>
    <row r="199" spans="1:17" x14ac:dyDescent="0.2">
      <c r="A199" s="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0"/>
    </row>
    <row r="200" spans="1:17" x14ac:dyDescent="0.2">
      <c r="A200" s="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0"/>
    </row>
    <row r="201" spans="1:17" x14ac:dyDescent="0.2">
      <c r="A201" s="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0"/>
    </row>
    <row r="202" spans="1:17" x14ac:dyDescent="0.2">
      <c r="A202" s="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0"/>
    </row>
    <row r="203" spans="1:17" x14ac:dyDescent="0.2">
      <c r="A203" s="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0"/>
    </row>
    <row r="204" spans="1:17" x14ac:dyDescent="0.2">
      <c r="A204" s="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0"/>
    </row>
    <row r="205" spans="1:17" x14ac:dyDescent="0.2">
      <c r="A205" s="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0"/>
    </row>
    <row r="206" spans="1:17" x14ac:dyDescent="0.2">
      <c r="A206" s="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0"/>
    </row>
    <row r="207" spans="1:17" x14ac:dyDescent="0.2">
      <c r="A207" s="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0"/>
    </row>
    <row r="208" spans="1:17" x14ac:dyDescent="0.2">
      <c r="A208" s="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0"/>
    </row>
    <row r="209" spans="1:17" x14ac:dyDescent="0.2">
      <c r="A209" s="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0"/>
    </row>
    <row r="210" spans="1:17" x14ac:dyDescent="0.2">
      <c r="A210" s="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0"/>
    </row>
    <row r="211" spans="1:17" ht="17" thickBot="1" x14ac:dyDescent="0.25">
      <c r="A211" s="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0"/>
    </row>
    <row r="212" spans="1:17" x14ac:dyDescent="0.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</row>
    <row r="213" spans="1:17" x14ac:dyDescent="0.2">
      <c r="A213" s="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0"/>
    </row>
    <row r="214" spans="1:17" x14ac:dyDescent="0.2">
      <c r="A214" s="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0"/>
    </row>
    <row r="215" spans="1:17" x14ac:dyDescent="0.2">
      <c r="A215" s="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0"/>
    </row>
    <row r="216" spans="1:17" x14ac:dyDescent="0.2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0"/>
    </row>
    <row r="217" spans="1:17" x14ac:dyDescent="0.2">
      <c r="A217" s="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0"/>
    </row>
    <row r="218" spans="1:17" x14ac:dyDescent="0.2">
      <c r="A218" s="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0"/>
    </row>
    <row r="219" spans="1:17" x14ac:dyDescent="0.2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0"/>
    </row>
    <row r="220" spans="1:17" x14ac:dyDescent="0.2">
      <c r="A220" s="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0"/>
    </row>
    <row r="221" spans="1:17" x14ac:dyDescent="0.2">
      <c r="A221" s="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0"/>
    </row>
    <row r="222" spans="1:17" x14ac:dyDescent="0.2">
      <c r="A222" s="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0"/>
    </row>
    <row r="223" spans="1:17" x14ac:dyDescent="0.2">
      <c r="A223" s="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0"/>
    </row>
    <row r="224" spans="1:17" x14ac:dyDescent="0.2">
      <c r="A224" s="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0"/>
    </row>
    <row r="225" spans="1:17" x14ac:dyDescent="0.2">
      <c r="A225" s="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0"/>
    </row>
    <row r="226" spans="1:17" x14ac:dyDescent="0.2">
      <c r="A226" s="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0"/>
    </row>
    <row r="227" spans="1:17" x14ac:dyDescent="0.2">
      <c r="A227" s="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0"/>
    </row>
    <row r="228" spans="1:17" x14ac:dyDescent="0.2">
      <c r="A228" s="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0"/>
    </row>
    <row r="229" spans="1:17" x14ac:dyDescent="0.2">
      <c r="A229" s="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0"/>
    </row>
    <row r="230" spans="1:17" x14ac:dyDescent="0.2">
      <c r="A230" s="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0"/>
    </row>
    <row r="231" spans="1:17" ht="17" thickBot="1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3"/>
    </row>
    <row r="232" spans="1:17" x14ac:dyDescent="0.2">
      <c r="A232" s="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0"/>
    </row>
    <row r="233" spans="1:17" x14ac:dyDescent="0.2">
      <c r="A233" s="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0"/>
    </row>
    <row r="234" spans="1:17" x14ac:dyDescent="0.2">
      <c r="A234" s="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0"/>
    </row>
    <row r="235" spans="1:17" x14ac:dyDescent="0.2">
      <c r="A235" s="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0"/>
    </row>
    <row r="236" spans="1:17" x14ac:dyDescent="0.2">
      <c r="A236" s="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0"/>
    </row>
    <row r="237" spans="1:17" x14ac:dyDescent="0.2">
      <c r="A237" s="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0"/>
    </row>
    <row r="238" spans="1:17" x14ac:dyDescent="0.2">
      <c r="A238" s="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0"/>
    </row>
    <row r="239" spans="1:17" x14ac:dyDescent="0.2">
      <c r="A239" s="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0"/>
    </row>
    <row r="240" spans="1:17" x14ac:dyDescent="0.2">
      <c r="A240" s="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0"/>
    </row>
    <row r="241" spans="1:17" x14ac:dyDescent="0.2">
      <c r="A241" s="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0"/>
    </row>
    <row r="242" spans="1:17" x14ac:dyDescent="0.2">
      <c r="A242" s="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0"/>
    </row>
    <row r="243" spans="1:17" x14ac:dyDescent="0.2">
      <c r="A243" s="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0"/>
    </row>
    <row r="244" spans="1:17" x14ac:dyDescent="0.2">
      <c r="A244" s="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0"/>
    </row>
    <row r="245" spans="1:17" x14ac:dyDescent="0.2">
      <c r="A245" s="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0"/>
    </row>
    <row r="246" spans="1:17" x14ac:dyDescent="0.2">
      <c r="A246" s="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0"/>
    </row>
    <row r="247" spans="1:17" x14ac:dyDescent="0.2">
      <c r="A247" s="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0"/>
    </row>
    <row r="248" spans="1:17" x14ac:dyDescent="0.2">
      <c r="A248" s="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0"/>
    </row>
    <row r="249" spans="1:17" ht="17" thickBot="1" x14ac:dyDescent="0.25">
      <c r="A249" s="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0"/>
    </row>
    <row r="250" spans="1:17" x14ac:dyDescent="0.2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8"/>
    </row>
    <row r="251" spans="1:17" x14ac:dyDescent="0.2">
      <c r="A251" s="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0"/>
    </row>
    <row r="252" spans="1:17" x14ac:dyDescent="0.2">
      <c r="A252" s="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0"/>
    </row>
    <row r="253" spans="1:17" x14ac:dyDescent="0.2">
      <c r="A253" s="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0"/>
    </row>
    <row r="254" spans="1:17" x14ac:dyDescent="0.2">
      <c r="A254" s="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0"/>
    </row>
    <row r="255" spans="1:17" x14ac:dyDescent="0.2">
      <c r="A255" s="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0"/>
    </row>
    <row r="256" spans="1:17" x14ac:dyDescent="0.2">
      <c r="A256" s="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0"/>
    </row>
    <row r="257" spans="1:17" x14ac:dyDescent="0.2">
      <c r="A257" s="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0"/>
    </row>
    <row r="258" spans="1:17" x14ac:dyDescent="0.2">
      <c r="A258" s="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0"/>
    </row>
    <row r="259" spans="1:17" x14ac:dyDescent="0.2">
      <c r="A259" s="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0"/>
    </row>
    <row r="260" spans="1:17" x14ac:dyDescent="0.2">
      <c r="A260" s="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0"/>
    </row>
    <row r="261" spans="1:17" x14ac:dyDescent="0.2">
      <c r="A261" s="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0"/>
    </row>
    <row r="262" spans="1:17" x14ac:dyDescent="0.2">
      <c r="A262" s="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0"/>
    </row>
    <row r="263" spans="1:17" x14ac:dyDescent="0.2">
      <c r="A263" s="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0"/>
    </row>
    <row r="264" spans="1:17" x14ac:dyDescent="0.2">
      <c r="A264" s="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0"/>
    </row>
    <row r="265" spans="1:17" x14ac:dyDescent="0.2">
      <c r="A265" s="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0"/>
    </row>
    <row r="266" spans="1:17" x14ac:dyDescent="0.2">
      <c r="A266" s="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0"/>
    </row>
    <row r="267" spans="1:17" x14ac:dyDescent="0.2">
      <c r="A267" s="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0"/>
    </row>
    <row r="268" spans="1:17" x14ac:dyDescent="0.2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0"/>
    </row>
    <row r="269" spans="1:17" x14ac:dyDescent="0.2">
      <c r="A269" s="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0"/>
    </row>
    <row r="270" spans="1:17" x14ac:dyDescent="0.2">
      <c r="A270" s="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0"/>
    </row>
    <row r="271" spans="1:17" x14ac:dyDescent="0.2">
      <c r="A271" s="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0"/>
    </row>
    <row r="272" spans="1:17" x14ac:dyDescent="0.2">
      <c r="A272" s="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0"/>
    </row>
    <row r="273" spans="1:17" x14ac:dyDescent="0.2">
      <c r="A273" s="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0"/>
    </row>
    <row r="274" spans="1:17" x14ac:dyDescent="0.2">
      <c r="A274" s="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0"/>
    </row>
    <row r="275" spans="1:17" x14ac:dyDescent="0.2">
      <c r="A275" s="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0"/>
    </row>
    <row r="276" spans="1:17" x14ac:dyDescent="0.2">
      <c r="A276" s="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0"/>
    </row>
    <row r="277" spans="1:17" x14ac:dyDescent="0.2">
      <c r="A277" s="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0"/>
    </row>
    <row r="278" spans="1:17" x14ac:dyDescent="0.2">
      <c r="A278" s="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0"/>
    </row>
    <row r="279" spans="1:17" x14ac:dyDescent="0.2">
      <c r="A279" s="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0"/>
    </row>
    <row r="280" spans="1:17" x14ac:dyDescent="0.2">
      <c r="A280" s="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0"/>
    </row>
    <row r="281" spans="1:17" x14ac:dyDescent="0.2">
      <c r="A281" s="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0"/>
    </row>
    <row r="282" spans="1:17" x14ac:dyDescent="0.2">
      <c r="A282" s="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0"/>
    </row>
    <row r="283" spans="1:17" x14ac:dyDescent="0.2">
      <c r="A283" s="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0"/>
    </row>
    <row r="284" spans="1:17" x14ac:dyDescent="0.2">
      <c r="A284" s="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0"/>
    </row>
    <row r="285" spans="1:17" x14ac:dyDescent="0.2">
      <c r="A285" s="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0"/>
    </row>
    <row r="286" spans="1:17" x14ac:dyDescent="0.2">
      <c r="A286" s="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0"/>
    </row>
    <row r="287" spans="1:17" x14ac:dyDescent="0.2">
      <c r="A287" s="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0"/>
    </row>
    <row r="288" spans="1:17" x14ac:dyDescent="0.2">
      <c r="A288" s="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0"/>
    </row>
    <row r="289" spans="1:17" x14ac:dyDescent="0.2">
      <c r="A289" s="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0"/>
    </row>
    <row r="290" spans="1:17" x14ac:dyDescent="0.2">
      <c r="A290" s="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0"/>
    </row>
    <row r="291" spans="1:17" ht="17" thickBot="1" x14ac:dyDescent="0.25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3"/>
    </row>
  </sheetData>
  <mergeCells count="6">
    <mergeCell ref="A10:Q11"/>
    <mergeCell ref="C1:N2"/>
    <mergeCell ref="A1:B2"/>
    <mergeCell ref="P1:Q1"/>
    <mergeCell ref="P2:Q2"/>
    <mergeCell ref="D4:P8"/>
  </mergeCells>
  <printOptions horizontalCentered="1"/>
  <pageMargins left="0.25" right="0.25" top="0.75" bottom="0.75" header="0.3" footer="0.3"/>
  <pageSetup paperSize="9" scale="40" orientation="portrait" horizontalDpi="0" verticalDpi="0"/>
  <rowBreaks count="2" manualBreakCount="2">
    <brk id="102" max="16" man="1"/>
    <brk id="211" max="1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2AC3-7F0F-3649-AC93-41B578562B02}">
  <dimension ref="A1:T305"/>
  <sheetViews>
    <sheetView showGridLines="0" view="pageBreakPreview" topLeftCell="A69" zoomScaleNormal="100" zoomScaleSheetLayoutView="100" workbookViewId="0">
      <selection activeCell="L98" sqref="L98"/>
    </sheetView>
  </sheetViews>
  <sheetFormatPr baseColWidth="10" defaultRowHeight="16" x14ac:dyDescent="0.2"/>
  <cols>
    <col min="18" max="18" width="14.83203125" customWidth="1"/>
    <col min="19" max="19" width="13.83203125" customWidth="1"/>
  </cols>
  <sheetData>
    <row r="1" spans="1:20" ht="34" customHeight="1" x14ac:dyDescent="0.2">
      <c r="A1" s="341" t="s">
        <v>22</v>
      </c>
      <c r="B1" s="34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19" t="s">
        <v>21</v>
      </c>
      <c r="S1" s="311">
        <v>44555</v>
      </c>
      <c r="T1" s="312"/>
    </row>
    <row r="2" spans="1:20" ht="34" customHeight="1" thickBot="1" x14ac:dyDescent="0.25">
      <c r="A2" s="343"/>
      <c r="B2" s="34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20" t="s">
        <v>20</v>
      </c>
      <c r="S2" s="313">
        <f ca="1">NOW()</f>
        <v>44662.727361805555</v>
      </c>
      <c r="T2" s="314"/>
    </row>
    <row r="3" spans="1:20" ht="17" thickBot="1" x14ac:dyDescent="0.25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0"/>
    </row>
    <row r="4" spans="1:20" ht="21" x14ac:dyDescent="0.25">
      <c r="A4" s="17" t="s">
        <v>23</v>
      </c>
      <c r="B4" s="3"/>
      <c r="C4" s="3"/>
      <c r="D4" s="324" t="s">
        <v>97</v>
      </c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6"/>
      <c r="T4" s="10"/>
    </row>
    <row r="5" spans="1:20" x14ac:dyDescent="0.2">
      <c r="A5" s="18" t="s">
        <v>24</v>
      </c>
      <c r="B5" s="3"/>
      <c r="C5" s="3"/>
      <c r="D5" s="327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9"/>
      <c r="T5" s="10"/>
    </row>
    <row r="6" spans="1:20" x14ac:dyDescent="0.2">
      <c r="A6" s="9"/>
      <c r="B6" s="3"/>
      <c r="C6" s="3"/>
      <c r="D6" s="327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9"/>
      <c r="T6" s="10"/>
    </row>
    <row r="7" spans="1:20" x14ac:dyDescent="0.2">
      <c r="A7" s="9"/>
      <c r="B7" s="3"/>
      <c r="C7" s="3"/>
      <c r="D7" s="327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9"/>
      <c r="T7" s="10"/>
    </row>
    <row r="8" spans="1:20" ht="17" thickBot="1" x14ac:dyDescent="0.25">
      <c r="A8" s="9"/>
      <c r="B8" s="3"/>
      <c r="C8" s="3"/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2"/>
      <c r="T8" s="10"/>
    </row>
    <row r="9" spans="1:20" x14ac:dyDescent="0.2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10"/>
    </row>
    <row r="10" spans="1:20" x14ac:dyDescent="0.2">
      <c r="A10" s="333" t="s">
        <v>25</v>
      </c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5"/>
    </row>
    <row r="11" spans="1:20" x14ac:dyDescent="0.2">
      <c r="A11" s="336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8"/>
    </row>
    <row r="12" spans="1:20" x14ac:dyDescent="0.2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0"/>
    </row>
    <row r="13" spans="1:20" s="2" customFormat="1" ht="24" x14ac:dyDescent="0.3">
      <c r="A13" s="15"/>
      <c r="B13" s="14" t="s">
        <v>26</v>
      </c>
      <c r="C13" s="58" t="s">
        <v>96</v>
      </c>
      <c r="D13" s="14"/>
      <c r="E13" s="14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4"/>
      <c r="S13" s="14"/>
      <c r="T13" s="22"/>
    </row>
    <row r="14" spans="1:20" x14ac:dyDescent="0.2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10"/>
    </row>
    <row r="15" spans="1:20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10"/>
    </row>
    <row r="16" spans="1:20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7"/>
    </row>
    <row r="17" spans="1:20" x14ac:dyDescent="0.2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</row>
    <row r="18" spans="1:20" x14ac:dyDescent="0.2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7"/>
    </row>
    <row r="19" spans="1:20" x14ac:dyDescent="0.2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7"/>
    </row>
    <row r="20" spans="1:20" x14ac:dyDescent="0.2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</row>
    <row r="21" spans="1:20" x14ac:dyDescent="0.2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7"/>
    </row>
    <row r="22" spans="1:20" x14ac:dyDescent="0.2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</row>
    <row r="23" spans="1:20" x14ac:dyDescent="0.2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</row>
    <row r="24" spans="1:20" x14ac:dyDescent="0.2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10"/>
    </row>
    <row r="25" spans="1:20" x14ac:dyDescent="0.2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10"/>
    </row>
    <row r="26" spans="1:20" x14ac:dyDescent="0.2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0"/>
    </row>
    <row r="27" spans="1:20" x14ac:dyDescent="0.2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0"/>
    </row>
    <row r="28" spans="1:20" x14ac:dyDescent="0.2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0"/>
    </row>
    <row r="29" spans="1:20" x14ac:dyDescent="0.2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0"/>
    </row>
    <row r="30" spans="1:20" x14ac:dyDescent="0.2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10"/>
    </row>
    <row r="31" spans="1:20" x14ac:dyDescent="0.2">
      <c r="A31" s="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0"/>
    </row>
    <row r="32" spans="1:20" x14ac:dyDescent="0.2">
      <c r="A32" s="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0"/>
    </row>
    <row r="33" spans="1:20" x14ac:dyDescent="0.2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0"/>
    </row>
    <row r="34" spans="1:20" x14ac:dyDescent="0.2">
      <c r="A34" s="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0"/>
    </row>
    <row r="35" spans="1:20" x14ac:dyDescent="0.2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10"/>
    </row>
    <row r="36" spans="1:20" x14ac:dyDescent="0.2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10"/>
    </row>
    <row r="37" spans="1:20" x14ac:dyDescent="0.2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10"/>
    </row>
    <row r="38" spans="1:20" x14ac:dyDescent="0.2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0"/>
    </row>
    <row r="39" spans="1:20" x14ac:dyDescent="0.2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0"/>
    </row>
    <row r="40" spans="1:20" x14ac:dyDescent="0.2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0"/>
    </row>
    <row r="41" spans="1:20" x14ac:dyDescent="0.2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10"/>
    </row>
    <row r="42" spans="1:20" x14ac:dyDescent="0.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10"/>
    </row>
    <row r="43" spans="1:20" x14ac:dyDescent="0.2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10"/>
    </row>
    <row r="44" spans="1:20" x14ac:dyDescent="0.2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10"/>
    </row>
    <row r="45" spans="1:20" x14ac:dyDescent="0.2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10"/>
    </row>
    <row r="46" spans="1:20" x14ac:dyDescent="0.2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10"/>
    </row>
    <row r="47" spans="1:20" x14ac:dyDescent="0.2">
      <c r="A47" s="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0"/>
    </row>
    <row r="48" spans="1:20" x14ac:dyDescent="0.2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10"/>
    </row>
    <row r="49" spans="1:20" x14ac:dyDescent="0.2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0"/>
    </row>
    <row r="50" spans="1:20" x14ac:dyDescent="0.2">
      <c r="A50" s="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10"/>
    </row>
    <row r="51" spans="1:20" x14ac:dyDescent="0.2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10"/>
    </row>
    <row r="52" spans="1:20" ht="17" thickBot="1" x14ac:dyDescent="0.25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3"/>
    </row>
    <row r="53" spans="1:20" x14ac:dyDescent="0.2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10"/>
    </row>
    <row r="54" spans="1:20" x14ac:dyDescent="0.2">
      <c r="A54" s="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10"/>
    </row>
    <row r="55" spans="1:20" x14ac:dyDescent="0.2">
      <c r="A55" s="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0"/>
    </row>
    <row r="56" spans="1:20" x14ac:dyDescent="0.2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10"/>
    </row>
    <row r="57" spans="1:20" x14ac:dyDescent="0.2">
      <c r="A57" s="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10"/>
    </row>
    <row r="58" spans="1:20" x14ac:dyDescent="0.2">
      <c r="A58" s="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10"/>
    </row>
    <row r="59" spans="1:20" x14ac:dyDescent="0.2">
      <c r="A59" s="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10"/>
    </row>
    <row r="60" spans="1:20" x14ac:dyDescent="0.2">
      <c r="A60" s="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10"/>
    </row>
    <row r="61" spans="1:20" x14ac:dyDescent="0.2">
      <c r="A61" s="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10"/>
    </row>
    <row r="62" spans="1:20" x14ac:dyDescent="0.2">
      <c r="A62" s="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10"/>
    </row>
    <row r="63" spans="1:20" x14ac:dyDescent="0.2">
      <c r="A63" s="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10"/>
    </row>
    <row r="64" spans="1:20" x14ac:dyDescent="0.2">
      <c r="A64" s="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10"/>
    </row>
    <row r="65" spans="1:20" x14ac:dyDescent="0.2">
      <c r="A65" s="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10"/>
    </row>
    <row r="66" spans="1:20" x14ac:dyDescent="0.2">
      <c r="A66" s="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10"/>
    </row>
    <row r="67" spans="1:20" x14ac:dyDescent="0.2">
      <c r="A67" s="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10"/>
    </row>
    <row r="68" spans="1:20" x14ac:dyDescent="0.2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10"/>
    </row>
    <row r="69" spans="1:20" x14ac:dyDescent="0.2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10"/>
    </row>
    <row r="70" spans="1:20" x14ac:dyDescent="0.2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0"/>
    </row>
    <row r="71" spans="1:20" x14ac:dyDescent="0.2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0"/>
    </row>
    <row r="72" spans="1:20" x14ac:dyDescent="0.2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0"/>
    </row>
    <row r="73" spans="1:20" x14ac:dyDescent="0.2">
      <c r="A73" s="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10"/>
    </row>
    <row r="74" spans="1:20" x14ac:dyDescent="0.2">
      <c r="A74" s="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0"/>
    </row>
    <row r="75" spans="1:20" x14ac:dyDescent="0.2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0"/>
    </row>
    <row r="76" spans="1:20" x14ac:dyDescent="0.2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10"/>
    </row>
    <row r="77" spans="1:20" x14ac:dyDescent="0.2">
      <c r="A77" s="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0"/>
    </row>
    <row r="78" spans="1:20" x14ac:dyDescent="0.2">
      <c r="A78" s="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0"/>
    </row>
    <row r="79" spans="1:20" x14ac:dyDescent="0.2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0"/>
    </row>
    <row r="80" spans="1:20" x14ac:dyDescent="0.2">
      <c r="A80" s="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0"/>
    </row>
    <row r="81" spans="1:20" x14ac:dyDescent="0.2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0"/>
    </row>
    <row r="82" spans="1:20" x14ac:dyDescent="0.2">
      <c r="A82" s="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0"/>
    </row>
    <row r="83" spans="1:20" x14ac:dyDescent="0.2">
      <c r="A83" s="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0"/>
    </row>
    <row r="84" spans="1:20" x14ac:dyDescent="0.2">
      <c r="A84" s="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0"/>
    </row>
    <row r="85" spans="1:20" x14ac:dyDescent="0.2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0"/>
    </row>
    <row r="86" spans="1:20" x14ac:dyDescent="0.2">
      <c r="A86" s="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0"/>
    </row>
    <row r="87" spans="1:20" x14ac:dyDescent="0.2">
      <c r="A87" s="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0"/>
    </row>
    <row r="88" spans="1:20" x14ac:dyDescent="0.2">
      <c r="A88" s="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0"/>
    </row>
    <row r="89" spans="1:20" x14ac:dyDescent="0.2">
      <c r="A89" s="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0"/>
    </row>
    <row r="90" spans="1:20" x14ac:dyDescent="0.2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0"/>
    </row>
    <row r="91" spans="1:20" x14ac:dyDescent="0.2">
      <c r="A91" s="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0"/>
    </row>
    <row r="92" spans="1:20" x14ac:dyDescent="0.2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0"/>
    </row>
    <row r="93" spans="1:20" x14ac:dyDescent="0.2">
      <c r="A93" s="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0"/>
    </row>
    <row r="94" spans="1:20" x14ac:dyDescent="0.2">
      <c r="A94" s="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0"/>
    </row>
    <row r="95" spans="1:20" x14ac:dyDescent="0.2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0"/>
    </row>
    <row r="96" spans="1:20" x14ac:dyDescent="0.2">
      <c r="A96" s="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0"/>
    </row>
    <row r="97" spans="1:20" x14ac:dyDescent="0.2">
      <c r="A97" s="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0"/>
    </row>
    <row r="98" spans="1:20" x14ac:dyDescent="0.2">
      <c r="A98" s="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0"/>
    </row>
    <row r="99" spans="1:20" x14ac:dyDescent="0.2">
      <c r="A99" s="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0"/>
    </row>
    <row r="100" spans="1:20" ht="17" thickBot="1" x14ac:dyDescent="0.25">
      <c r="A100" s="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0"/>
    </row>
    <row r="101" spans="1:20" x14ac:dyDescent="0.2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</row>
    <row r="102" spans="1:20" x14ac:dyDescent="0.2">
      <c r="A102" s="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0"/>
    </row>
    <row r="103" spans="1:20" x14ac:dyDescent="0.2">
      <c r="A103" s="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0"/>
    </row>
    <row r="104" spans="1:20" x14ac:dyDescent="0.2">
      <c r="A104" s="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0"/>
    </row>
    <row r="105" spans="1:20" x14ac:dyDescent="0.2">
      <c r="A105" s="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0"/>
    </row>
    <row r="106" spans="1:20" x14ac:dyDescent="0.2">
      <c r="A106" s="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0"/>
    </row>
    <row r="107" spans="1:20" x14ac:dyDescent="0.2">
      <c r="A107" s="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0"/>
    </row>
    <row r="108" spans="1:20" x14ac:dyDescent="0.2">
      <c r="A108" s="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0"/>
    </row>
    <row r="109" spans="1:20" x14ac:dyDescent="0.2">
      <c r="A109" s="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0"/>
    </row>
    <row r="110" spans="1:20" x14ac:dyDescent="0.2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0"/>
    </row>
    <row r="111" spans="1:20" x14ac:dyDescent="0.2">
      <c r="A111" s="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0"/>
    </row>
    <row r="112" spans="1:20" x14ac:dyDescent="0.2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0"/>
    </row>
    <row r="113" spans="1:20" x14ac:dyDescent="0.2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0"/>
    </row>
    <row r="114" spans="1:20" x14ac:dyDescent="0.2">
      <c r="A114" s="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0"/>
    </row>
    <row r="115" spans="1:20" x14ac:dyDescent="0.2">
      <c r="A115" s="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0"/>
    </row>
    <row r="116" spans="1:20" x14ac:dyDescent="0.2">
      <c r="A116" s="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0"/>
    </row>
    <row r="117" spans="1:20" x14ac:dyDescent="0.2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0"/>
    </row>
    <row r="118" spans="1:20" x14ac:dyDescent="0.2">
      <c r="A118" s="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0"/>
    </row>
    <row r="119" spans="1:20" x14ac:dyDescent="0.2">
      <c r="A119" s="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0"/>
    </row>
    <row r="120" spans="1:20" x14ac:dyDescent="0.2">
      <c r="A120" s="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0"/>
    </row>
    <row r="121" spans="1:20" x14ac:dyDescent="0.2">
      <c r="A121" s="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0"/>
    </row>
    <row r="122" spans="1:20" x14ac:dyDescent="0.2">
      <c r="A122" s="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0"/>
    </row>
    <row r="123" spans="1:20" x14ac:dyDescent="0.2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0"/>
    </row>
    <row r="124" spans="1:20" x14ac:dyDescent="0.2">
      <c r="A124" s="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0"/>
    </row>
    <row r="125" spans="1:20" x14ac:dyDescent="0.2">
      <c r="A125" s="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0"/>
    </row>
    <row r="126" spans="1:20" x14ac:dyDescent="0.2">
      <c r="A126" s="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0"/>
    </row>
    <row r="127" spans="1:20" x14ac:dyDescent="0.2">
      <c r="A127" s="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0"/>
    </row>
    <row r="128" spans="1:20" x14ac:dyDescent="0.2">
      <c r="A128" s="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0"/>
    </row>
    <row r="129" spans="1:20" x14ac:dyDescent="0.2">
      <c r="A129" s="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0"/>
    </row>
    <row r="130" spans="1:20" x14ac:dyDescent="0.2">
      <c r="A130" s="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0"/>
    </row>
    <row r="131" spans="1:20" x14ac:dyDescent="0.2">
      <c r="A131" s="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0"/>
    </row>
    <row r="132" spans="1:20" x14ac:dyDescent="0.2">
      <c r="A132" s="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0"/>
    </row>
    <row r="133" spans="1:20" x14ac:dyDescent="0.2">
      <c r="A133" s="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0"/>
    </row>
    <row r="134" spans="1:20" x14ac:dyDescent="0.2">
      <c r="A134" s="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0"/>
    </row>
    <row r="135" spans="1:20" x14ac:dyDescent="0.2">
      <c r="A135" s="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0"/>
    </row>
    <row r="136" spans="1:20" x14ac:dyDescent="0.2">
      <c r="A136" s="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0"/>
    </row>
    <row r="137" spans="1:20" x14ac:dyDescent="0.2">
      <c r="A137" s="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0"/>
    </row>
    <row r="138" spans="1:20" x14ac:dyDescent="0.2">
      <c r="A138" s="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0"/>
    </row>
    <row r="139" spans="1:20" ht="17" thickBot="1" x14ac:dyDescent="0.25">
      <c r="A139" s="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0"/>
    </row>
    <row r="140" spans="1:20" x14ac:dyDescent="0.2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</row>
    <row r="141" spans="1:20" x14ac:dyDescent="0.2">
      <c r="A141" s="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0"/>
    </row>
    <row r="142" spans="1:20" x14ac:dyDescent="0.2">
      <c r="A142" s="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0"/>
    </row>
    <row r="143" spans="1:20" x14ac:dyDescent="0.2">
      <c r="A143" s="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0"/>
    </row>
    <row r="144" spans="1:20" x14ac:dyDescent="0.2">
      <c r="A144" s="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0"/>
    </row>
    <row r="145" spans="1:20" x14ac:dyDescent="0.2">
      <c r="A145" s="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0"/>
    </row>
    <row r="146" spans="1:20" x14ac:dyDescent="0.2">
      <c r="A146" s="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0"/>
    </row>
    <row r="147" spans="1:20" x14ac:dyDescent="0.2">
      <c r="A147" s="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0"/>
    </row>
    <row r="148" spans="1:20" x14ac:dyDescent="0.2">
      <c r="A148" s="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0"/>
    </row>
    <row r="149" spans="1:20" x14ac:dyDescent="0.2">
      <c r="A149" s="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0"/>
    </row>
    <row r="150" spans="1:20" x14ac:dyDescent="0.2">
      <c r="A150" s="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0"/>
    </row>
    <row r="151" spans="1:20" x14ac:dyDescent="0.2">
      <c r="A151" s="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0"/>
    </row>
    <row r="152" spans="1:20" x14ac:dyDescent="0.2">
      <c r="A152" s="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0"/>
    </row>
    <row r="153" spans="1:20" x14ac:dyDescent="0.2">
      <c r="A153" s="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0"/>
    </row>
    <row r="154" spans="1:20" x14ac:dyDescent="0.2">
      <c r="A154" s="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0"/>
    </row>
    <row r="155" spans="1:20" x14ac:dyDescent="0.2">
      <c r="A155" s="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0"/>
    </row>
    <row r="156" spans="1:20" x14ac:dyDescent="0.2">
      <c r="A156" s="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0"/>
    </row>
    <row r="157" spans="1:20" x14ac:dyDescent="0.2">
      <c r="A157" s="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0"/>
    </row>
    <row r="158" spans="1:20" x14ac:dyDescent="0.2">
      <c r="A158" s="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0"/>
    </row>
    <row r="159" spans="1:20" x14ac:dyDescent="0.2">
      <c r="A159" s="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0"/>
    </row>
    <row r="160" spans="1:20" x14ac:dyDescent="0.2">
      <c r="A160" s="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0"/>
    </row>
    <row r="161" spans="1:20" x14ac:dyDescent="0.2">
      <c r="A161" s="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0"/>
    </row>
    <row r="162" spans="1:20" x14ac:dyDescent="0.2">
      <c r="A162" s="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0"/>
    </row>
    <row r="163" spans="1:20" x14ac:dyDescent="0.2">
      <c r="A163" s="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0"/>
    </row>
    <row r="164" spans="1:20" x14ac:dyDescent="0.2">
      <c r="A164" s="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0"/>
    </row>
    <row r="165" spans="1:20" x14ac:dyDescent="0.2">
      <c r="A165" s="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0"/>
    </row>
    <row r="166" spans="1:20" x14ac:dyDescent="0.2">
      <c r="A166" s="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0"/>
    </row>
    <row r="167" spans="1:20" x14ac:dyDescent="0.2">
      <c r="A167" s="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0"/>
    </row>
    <row r="168" spans="1:20" ht="17" thickBot="1" x14ac:dyDescent="0.25">
      <c r="A168" s="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0"/>
    </row>
    <row r="169" spans="1:20" x14ac:dyDescent="0.2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</row>
    <row r="170" spans="1:20" x14ac:dyDescent="0.2">
      <c r="A170" s="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0"/>
    </row>
    <row r="171" spans="1:20" x14ac:dyDescent="0.2">
      <c r="A171" s="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0"/>
    </row>
    <row r="172" spans="1:20" x14ac:dyDescent="0.2">
      <c r="A172" s="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0"/>
    </row>
    <row r="173" spans="1:20" x14ac:dyDescent="0.2">
      <c r="A173" s="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0"/>
    </row>
    <row r="174" spans="1:20" x14ac:dyDescent="0.2">
      <c r="A174" s="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0"/>
    </row>
    <row r="175" spans="1:20" x14ac:dyDescent="0.2">
      <c r="A175" s="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0"/>
    </row>
    <row r="176" spans="1:20" x14ac:dyDescent="0.2">
      <c r="A176" s="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0"/>
    </row>
    <row r="177" spans="1:20" x14ac:dyDescent="0.2">
      <c r="A177" s="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0"/>
    </row>
    <row r="178" spans="1:20" x14ac:dyDescent="0.2">
      <c r="A178" s="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0"/>
    </row>
    <row r="179" spans="1:20" x14ac:dyDescent="0.2">
      <c r="A179" s="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0"/>
    </row>
    <row r="180" spans="1:20" x14ac:dyDescent="0.2">
      <c r="A180" s="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0"/>
    </row>
    <row r="181" spans="1:20" x14ac:dyDescent="0.2">
      <c r="A181" s="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0"/>
    </row>
    <row r="182" spans="1:20" x14ac:dyDescent="0.2">
      <c r="A182" s="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0"/>
    </row>
    <row r="183" spans="1:20" x14ac:dyDescent="0.2">
      <c r="A183" s="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0"/>
    </row>
    <row r="184" spans="1:20" ht="17" thickBot="1" x14ac:dyDescent="0.25">
      <c r="A184" s="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0"/>
    </row>
    <row r="185" spans="1:20" x14ac:dyDescent="0.2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</row>
    <row r="186" spans="1:20" x14ac:dyDescent="0.2">
      <c r="A186" s="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0"/>
    </row>
    <row r="187" spans="1:20" x14ac:dyDescent="0.2">
      <c r="A187" s="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0"/>
    </row>
    <row r="188" spans="1:20" x14ac:dyDescent="0.2">
      <c r="A188" s="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0"/>
    </row>
    <row r="189" spans="1:20" x14ac:dyDescent="0.2">
      <c r="A189" s="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0"/>
    </row>
    <row r="190" spans="1:20" x14ac:dyDescent="0.2">
      <c r="A190" s="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0"/>
    </row>
    <row r="191" spans="1:20" x14ac:dyDescent="0.2">
      <c r="A191" s="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0"/>
    </row>
    <row r="192" spans="1:20" x14ac:dyDescent="0.2">
      <c r="A192" s="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0"/>
    </row>
    <row r="193" spans="1:20" x14ac:dyDescent="0.2">
      <c r="A193" s="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0"/>
    </row>
    <row r="194" spans="1:20" x14ac:dyDescent="0.2">
      <c r="A194" s="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0"/>
    </row>
    <row r="195" spans="1:20" x14ac:dyDescent="0.2">
      <c r="A195" s="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0"/>
    </row>
    <row r="196" spans="1:20" x14ac:dyDescent="0.2">
      <c r="A196" s="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0"/>
    </row>
    <row r="197" spans="1:20" x14ac:dyDescent="0.2">
      <c r="A197" s="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0"/>
    </row>
    <row r="198" spans="1:20" x14ac:dyDescent="0.2">
      <c r="A198" s="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0"/>
    </row>
    <row r="199" spans="1:20" x14ac:dyDescent="0.2">
      <c r="A199" s="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0"/>
    </row>
    <row r="200" spans="1:20" x14ac:dyDescent="0.2">
      <c r="A200" s="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0"/>
    </row>
    <row r="201" spans="1:20" x14ac:dyDescent="0.2">
      <c r="A201" s="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0"/>
    </row>
    <row r="202" spans="1:20" x14ac:dyDescent="0.2">
      <c r="A202" s="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0"/>
    </row>
    <row r="203" spans="1:20" x14ac:dyDescent="0.2">
      <c r="A203" s="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0"/>
    </row>
    <row r="204" spans="1:20" x14ac:dyDescent="0.2">
      <c r="A204" s="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0"/>
    </row>
    <row r="205" spans="1:20" x14ac:dyDescent="0.2">
      <c r="A205" s="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0"/>
    </row>
    <row r="206" spans="1:20" x14ac:dyDescent="0.2">
      <c r="A206" s="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0"/>
    </row>
    <row r="207" spans="1:20" x14ac:dyDescent="0.2">
      <c r="A207" s="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0"/>
    </row>
    <row r="208" spans="1:20" x14ac:dyDescent="0.2">
      <c r="A208" s="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0"/>
    </row>
    <row r="209" spans="1:20" x14ac:dyDescent="0.2">
      <c r="A209" s="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0"/>
    </row>
    <row r="210" spans="1:20" x14ac:dyDescent="0.2">
      <c r="A210" s="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0"/>
    </row>
    <row r="211" spans="1:20" x14ac:dyDescent="0.2">
      <c r="A211" s="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0"/>
    </row>
    <row r="212" spans="1:20" x14ac:dyDescent="0.2">
      <c r="A212" s="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0"/>
    </row>
    <row r="213" spans="1:20" x14ac:dyDescent="0.2">
      <c r="A213" s="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0"/>
    </row>
    <row r="214" spans="1:20" x14ac:dyDescent="0.2">
      <c r="A214" s="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0"/>
    </row>
    <row r="215" spans="1:20" x14ac:dyDescent="0.2">
      <c r="A215" s="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0"/>
    </row>
    <row r="216" spans="1:20" x14ac:dyDescent="0.2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0"/>
    </row>
    <row r="217" spans="1:20" x14ac:dyDescent="0.2">
      <c r="A217" s="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0"/>
    </row>
    <row r="218" spans="1:20" x14ac:dyDescent="0.2">
      <c r="A218" s="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0"/>
    </row>
    <row r="219" spans="1:20" ht="17" thickBot="1" x14ac:dyDescent="0.25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0"/>
    </row>
    <row r="220" spans="1:20" x14ac:dyDescent="0.2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</row>
    <row r="221" spans="1:20" x14ac:dyDescent="0.2">
      <c r="A221" s="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0"/>
    </row>
    <row r="222" spans="1:20" x14ac:dyDescent="0.2">
      <c r="A222" s="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0"/>
    </row>
    <row r="223" spans="1:20" x14ac:dyDescent="0.2">
      <c r="A223" s="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0"/>
    </row>
    <row r="224" spans="1:20" x14ac:dyDescent="0.2">
      <c r="A224" s="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0"/>
    </row>
    <row r="225" spans="1:20" x14ac:dyDescent="0.2">
      <c r="A225" s="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0"/>
    </row>
    <row r="226" spans="1:20" x14ac:dyDescent="0.2">
      <c r="A226" s="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0"/>
    </row>
    <row r="227" spans="1:20" x14ac:dyDescent="0.2">
      <c r="A227" s="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0"/>
    </row>
    <row r="228" spans="1:20" x14ac:dyDescent="0.2">
      <c r="A228" s="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0"/>
    </row>
    <row r="229" spans="1:20" x14ac:dyDescent="0.2">
      <c r="A229" s="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0"/>
    </row>
    <row r="230" spans="1:20" x14ac:dyDescent="0.2">
      <c r="A230" s="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0"/>
    </row>
    <row r="231" spans="1:20" x14ac:dyDescent="0.2">
      <c r="A231" s="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0"/>
    </row>
    <row r="232" spans="1:20" ht="17" thickBot="1" x14ac:dyDescent="0.25">
      <c r="A232" s="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0"/>
    </row>
    <row r="233" spans="1:20" x14ac:dyDescent="0.2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</row>
    <row r="234" spans="1:20" x14ac:dyDescent="0.2">
      <c r="A234" s="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0"/>
    </row>
    <row r="235" spans="1:20" x14ac:dyDescent="0.2">
      <c r="A235" s="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0"/>
    </row>
    <row r="236" spans="1:20" x14ac:dyDescent="0.2">
      <c r="A236" s="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0"/>
    </row>
    <row r="237" spans="1:20" x14ac:dyDescent="0.2">
      <c r="A237" s="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0"/>
    </row>
    <row r="238" spans="1:20" x14ac:dyDescent="0.2">
      <c r="A238" s="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0"/>
    </row>
    <row r="239" spans="1:20" x14ac:dyDescent="0.2">
      <c r="A239" s="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0"/>
    </row>
    <row r="240" spans="1:20" x14ac:dyDescent="0.2">
      <c r="A240" s="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0"/>
    </row>
    <row r="241" spans="1:20" x14ac:dyDescent="0.2">
      <c r="A241" s="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0"/>
    </row>
    <row r="242" spans="1:20" x14ac:dyDescent="0.2">
      <c r="A242" s="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0"/>
    </row>
    <row r="243" spans="1:20" x14ac:dyDescent="0.2">
      <c r="A243" s="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0"/>
    </row>
    <row r="244" spans="1:20" x14ac:dyDescent="0.2">
      <c r="A244" s="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0"/>
    </row>
    <row r="245" spans="1:20" x14ac:dyDescent="0.2">
      <c r="A245" s="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0"/>
    </row>
    <row r="246" spans="1:20" x14ac:dyDescent="0.2">
      <c r="A246" s="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0"/>
    </row>
    <row r="247" spans="1:20" ht="17" thickBot="1" x14ac:dyDescent="0.25">
      <c r="A247" s="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0"/>
    </row>
    <row r="248" spans="1:20" x14ac:dyDescent="0.2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</row>
    <row r="249" spans="1:20" x14ac:dyDescent="0.2">
      <c r="A249" s="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0"/>
    </row>
    <row r="250" spans="1:20" x14ac:dyDescent="0.2">
      <c r="A250" s="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0"/>
    </row>
    <row r="251" spans="1:20" x14ac:dyDescent="0.2">
      <c r="A251" s="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0"/>
    </row>
    <row r="252" spans="1:20" x14ac:dyDescent="0.2">
      <c r="A252" s="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0"/>
    </row>
    <row r="253" spans="1:20" x14ac:dyDescent="0.2">
      <c r="A253" s="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0"/>
    </row>
    <row r="254" spans="1:20" x14ac:dyDescent="0.2">
      <c r="A254" s="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0"/>
    </row>
    <row r="255" spans="1:20" x14ac:dyDescent="0.2">
      <c r="A255" s="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0"/>
    </row>
    <row r="256" spans="1:20" x14ac:dyDescent="0.2">
      <c r="A256" s="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0"/>
    </row>
    <row r="257" spans="1:20" x14ac:dyDescent="0.2">
      <c r="A257" s="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0"/>
    </row>
    <row r="258" spans="1:20" x14ac:dyDescent="0.2">
      <c r="A258" s="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0"/>
    </row>
    <row r="259" spans="1:20" x14ac:dyDescent="0.2">
      <c r="A259" s="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0"/>
    </row>
    <row r="260" spans="1:20" x14ac:dyDescent="0.2">
      <c r="A260" s="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0"/>
    </row>
    <row r="261" spans="1:20" x14ac:dyDescent="0.2">
      <c r="A261" s="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0"/>
    </row>
    <row r="262" spans="1:20" x14ac:dyDescent="0.2">
      <c r="A262" s="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0"/>
    </row>
    <row r="263" spans="1:20" x14ac:dyDescent="0.2">
      <c r="A263" s="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0"/>
    </row>
    <row r="264" spans="1:20" x14ac:dyDescent="0.2">
      <c r="A264" s="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0"/>
    </row>
    <row r="265" spans="1:20" x14ac:dyDescent="0.2">
      <c r="A265" s="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0"/>
    </row>
    <row r="266" spans="1:20" x14ac:dyDescent="0.2">
      <c r="A266" s="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0"/>
    </row>
    <row r="267" spans="1:20" x14ac:dyDescent="0.2">
      <c r="A267" s="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0"/>
    </row>
    <row r="268" spans="1:20" x14ac:dyDescent="0.2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0"/>
    </row>
    <row r="269" spans="1:20" x14ac:dyDescent="0.2">
      <c r="A269" s="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0"/>
    </row>
    <row r="270" spans="1:20" x14ac:dyDescent="0.2">
      <c r="A270" s="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0"/>
    </row>
    <row r="271" spans="1:20" x14ac:dyDescent="0.2">
      <c r="A271" s="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0"/>
    </row>
    <row r="272" spans="1:20" x14ac:dyDescent="0.2">
      <c r="A272" s="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0"/>
    </row>
    <row r="273" spans="1:20" x14ac:dyDescent="0.2">
      <c r="A273" s="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0"/>
    </row>
    <row r="274" spans="1:20" x14ac:dyDescent="0.2">
      <c r="A274" s="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0"/>
    </row>
    <row r="275" spans="1:20" x14ac:dyDescent="0.2">
      <c r="A275" s="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0"/>
    </row>
    <row r="276" spans="1:20" x14ac:dyDescent="0.2">
      <c r="A276" s="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0"/>
    </row>
    <row r="277" spans="1:20" x14ac:dyDescent="0.2">
      <c r="A277" s="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0"/>
    </row>
    <row r="278" spans="1:20" x14ac:dyDescent="0.2">
      <c r="A278" s="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0"/>
    </row>
    <row r="279" spans="1:20" x14ac:dyDescent="0.2">
      <c r="A279" s="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0"/>
    </row>
    <row r="280" spans="1:20" x14ac:dyDescent="0.2">
      <c r="A280" s="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0"/>
    </row>
    <row r="281" spans="1:20" x14ac:dyDescent="0.2">
      <c r="A281" s="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0"/>
    </row>
    <row r="282" spans="1:20" x14ac:dyDescent="0.2">
      <c r="A282" s="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0"/>
    </row>
    <row r="283" spans="1:20" x14ac:dyDescent="0.2">
      <c r="A283" s="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0"/>
    </row>
    <row r="284" spans="1:20" x14ac:dyDescent="0.2">
      <c r="A284" s="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0"/>
    </row>
    <row r="285" spans="1:20" x14ac:dyDescent="0.2">
      <c r="A285" s="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0"/>
    </row>
    <row r="286" spans="1:20" x14ac:dyDescent="0.2">
      <c r="A286" s="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0"/>
    </row>
    <row r="287" spans="1:20" x14ac:dyDescent="0.2">
      <c r="A287" s="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0"/>
    </row>
    <row r="288" spans="1:20" x14ac:dyDescent="0.2">
      <c r="A288" s="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0"/>
    </row>
    <row r="289" spans="1:20" x14ac:dyDescent="0.2">
      <c r="A289" s="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0"/>
    </row>
    <row r="290" spans="1:20" x14ac:dyDescent="0.2">
      <c r="A290" s="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0"/>
    </row>
    <row r="291" spans="1:20" x14ac:dyDescent="0.2">
      <c r="A291" s="9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0"/>
    </row>
    <row r="292" spans="1:20" x14ac:dyDescent="0.2">
      <c r="A292" s="9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0"/>
    </row>
    <row r="293" spans="1:20" x14ac:dyDescent="0.2">
      <c r="A293" s="9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0"/>
    </row>
    <row r="294" spans="1:20" x14ac:dyDescent="0.2">
      <c r="A294" s="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0"/>
    </row>
    <row r="295" spans="1:20" x14ac:dyDescent="0.2">
      <c r="A295" s="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0"/>
    </row>
    <row r="296" spans="1:20" x14ac:dyDescent="0.2">
      <c r="A296" s="9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0"/>
    </row>
    <row r="297" spans="1:20" x14ac:dyDescent="0.2">
      <c r="A297" s="9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0"/>
    </row>
    <row r="298" spans="1:20" x14ac:dyDescent="0.2">
      <c r="A298" s="9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0"/>
    </row>
    <row r="299" spans="1:20" x14ac:dyDescent="0.2">
      <c r="A299" s="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0"/>
    </row>
    <row r="300" spans="1:20" x14ac:dyDescent="0.2">
      <c r="A300" s="9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0"/>
    </row>
    <row r="301" spans="1:20" x14ac:dyDescent="0.2">
      <c r="A301" s="9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0"/>
    </row>
    <row r="302" spans="1:20" x14ac:dyDescent="0.2">
      <c r="A302" s="9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0"/>
    </row>
    <row r="303" spans="1:20" x14ac:dyDescent="0.2">
      <c r="A303" s="9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0"/>
    </row>
    <row r="304" spans="1:20" x14ac:dyDescent="0.2">
      <c r="A304" s="9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0"/>
    </row>
    <row r="305" spans="1:20" ht="17" thickBot="1" x14ac:dyDescent="0.2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3"/>
    </row>
  </sheetData>
  <mergeCells count="6">
    <mergeCell ref="A10:T11"/>
    <mergeCell ref="A1:B2"/>
    <mergeCell ref="C1:Q2"/>
    <mergeCell ref="S1:T1"/>
    <mergeCell ref="S2:T2"/>
    <mergeCell ref="D4:S8"/>
  </mergeCells>
  <printOptions horizontalCentered="1"/>
  <pageMargins left="0.25" right="0.25" top="0.75" bottom="0.75" header="0.3" footer="0.3"/>
  <pageSetup paperSize="9" scale="40" fitToHeight="3" orientation="portrait" horizontalDpi="0" verticalDpi="0"/>
  <rowBreaks count="2" manualBreakCount="2">
    <brk id="100" max="19" man="1"/>
    <brk id="219" max="19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A202-CF24-8540-BD4F-59ADD32CC1DF}">
  <sheetPr>
    <pageSetUpPr fitToPage="1"/>
  </sheetPr>
  <dimension ref="A1:V106"/>
  <sheetViews>
    <sheetView showGridLines="0" view="pageBreakPreview" zoomScaleNormal="100" zoomScaleSheetLayoutView="100" workbookViewId="0">
      <selection activeCell="C86" sqref="C86"/>
    </sheetView>
  </sheetViews>
  <sheetFormatPr baseColWidth="10" defaultRowHeight="16" x14ac:dyDescent="0.2"/>
  <cols>
    <col min="19" max="19" width="14.83203125" customWidth="1"/>
    <col min="20" max="20" width="13.83203125" customWidth="1"/>
  </cols>
  <sheetData>
    <row r="1" spans="1:22" ht="34" customHeight="1" x14ac:dyDescent="0.2">
      <c r="A1" s="341" t="s">
        <v>22</v>
      </c>
      <c r="B1" s="34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19" t="s">
        <v>21</v>
      </c>
      <c r="T1" s="311">
        <v>44555</v>
      </c>
      <c r="U1" s="312"/>
    </row>
    <row r="2" spans="1:22" ht="34" customHeight="1" thickBot="1" x14ac:dyDescent="0.25">
      <c r="A2" s="343"/>
      <c r="B2" s="34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20" t="s">
        <v>20</v>
      </c>
      <c r="T2" s="313">
        <f ca="1">NOW()</f>
        <v>44662.727361805555</v>
      </c>
      <c r="U2" s="314"/>
    </row>
    <row r="3" spans="1:22" ht="17" thickBot="1" x14ac:dyDescent="0.25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0"/>
    </row>
    <row r="4" spans="1:22" ht="21" customHeight="1" x14ac:dyDescent="0.25">
      <c r="A4" s="17" t="s">
        <v>23</v>
      </c>
      <c r="B4" s="3"/>
      <c r="C4" s="3"/>
      <c r="D4" s="324" t="s">
        <v>98</v>
      </c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6"/>
      <c r="U4" s="10"/>
    </row>
    <row r="5" spans="1:22" ht="16" customHeight="1" x14ac:dyDescent="0.2">
      <c r="A5" s="18" t="s">
        <v>24</v>
      </c>
      <c r="B5" s="3"/>
      <c r="C5" s="3"/>
      <c r="D5" s="327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9"/>
      <c r="U5" s="10"/>
    </row>
    <row r="6" spans="1:22" ht="16" customHeight="1" x14ac:dyDescent="0.2">
      <c r="A6" s="9"/>
      <c r="B6" s="3"/>
      <c r="C6" s="3"/>
      <c r="D6" s="327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9"/>
      <c r="U6" s="10"/>
    </row>
    <row r="7" spans="1:22" ht="16" customHeight="1" x14ac:dyDescent="0.2">
      <c r="A7" s="9"/>
      <c r="B7" s="3"/>
      <c r="C7" s="3"/>
      <c r="D7" s="327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9"/>
      <c r="U7" s="10"/>
    </row>
    <row r="8" spans="1:22" ht="17" customHeight="1" thickBot="1" x14ac:dyDescent="0.25">
      <c r="A8" s="9"/>
      <c r="B8" s="3"/>
      <c r="C8" s="3"/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2"/>
      <c r="U8" s="10"/>
    </row>
    <row r="9" spans="1:22" x14ac:dyDescent="0.2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10"/>
    </row>
    <row r="10" spans="1:22" x14ac:dyDescent="0.2">
      <c r="A10" s="333" t="s">
        <v>25</v>
      </c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5"/>
    </row>
    <row r="11" spans="1:22" x14ac:dyDescent="0.2">
      <c r="A11" s="336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8"/>
    </row>
    <row r="12" spans="1:22" x14ac:dyDescent="0.2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10"/>
    </row>
    <row r="13" spans="1:22" s="2" customFormat="1" ht="24" x14ac:dyDescent="0.3">
      <c r="A13" s="15"/>
      <c r="B13" s="14" t="s">
        <v>26</v>
      </c>
      <c r="C13" s="58" t="s">
        <v>99</v>
      </c>
      <c r="D13" s="14"/>
      <c r="E13" s="14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4"/>
      <c r="T13" s="14"/>
      <c r="U13" s="22"/>
    </row>
    <row r="14" spans="1:22" x14ac:dyDescent="0.2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10"/>
    </row>
    <row r="15" spans="1:22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10"/>
    </row>
    <row r="16" spans="1:22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7"/>
      <c r="V16" s="106"/>
    </row>
    <row r="17" spans="1:22" x14ac:dyDescent="0.2">
      <c r="A17" s="10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7"/>
      <c r="V17" s="106"/>
    </row>
    <row r="18" spans="1:22" x14ac:dyDescent="0.2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7"/>
      <c r="V18" s="106"/>
    </row>
    <row r="19" spans="1:22" x14ac:dyDescent="0.2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7"/>
      <c r="V19" s="106"/>
    </row>
    <row r="20" spans="1:22" x14ac:dyDescent="0.2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7"/>
      <c r="V20" s="106"/>
    </row>
    <row r="21" spans="1:22" x14ac:dyDescent="0.2">
      <c r="A21" s="10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7"/>
      <c r="V21" s="106"/>
    </row>
    <row r="22" spans="1:22" x14ac:dyDescent="0.2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7"/>
      <c r="V22" s="106"/>
    </row>
    <row r="23" spans="1:22" x14ac:dyDescent="0.2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7"/>
      <c r="V23" s="106"/>
    </row>
    <row r="24" spans="1:22" x14ac:dyDescent="0.2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0"/>
    </row>
    <row r="25" spans="1:22" x14ac:dyDescent="0.2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10"/>
    </row>
    <row r="26" spans="1:22" x14ac:dyDescent="0.2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0"/>
    </row>
    <row r="27" spans="1:22" x14ac:dyDescent="0.2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0"/>
    </row>
    <row r="28" spans="1:22" x14ac:dyDescent="0.2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10"/>
    </row>
    <row r="29" spans="1:22" x14ac:dyDescent="0.2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10"/>
    </row>
    <row r="30" spans="1:22" x14ac:dyDescent="0.2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10"/>
    </row>
    <row r="31" spans="1:22" x14ac:dyDescent="0.2">
      <c r="A31" s="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10"/>
    </row>
    <row r="32" spans="1:22" x14ac:dyDescent="0.2">
      <c r="A32" s="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10"/>
    </row>
    <row r="33" spans="1:21" x14ac:dyDescent="0.2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10"/>
    </row>
    <row r="34" spans="1:21" x14ac:dyDescent="0.2">
      <c r="A34" s="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10"/>
    </row>
    <row r="35" spans="1:21" ht="16" customHeight="1" x14ac:dyDescent="0.2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10"/>
    </row>
    <row r="36" spans="1:21" ht="16" customHeight="1" thickBot="1" x14ac:dyDescent="0.2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</row>
    <row r="37" spans="1:21" ht="16" customHeight="1" x14ac:dyDescent="0.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</row>
    <row r="38" spans="1:21" ht="16" customHeight="1" x14ac:dyDescent="0.2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10"/>
    </row>
    <row r="39" spans="1:21" ht="17" customHeight="1" x14ac:dyDescent="0.2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10"/>
    </row>
    <row r="40" spans="1:21" x14ac:dyDescent="0.2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10"/>
    </row>
    <row r="41" spans="1:21" x14ac:dyDescent="0.2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10"/>
    </row>
    <row r="42" spans="1:21" x14ac:dyDescent="0.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10"/>
    </row>
    <row r="43" spans="1:21" x14ac:dyDescent="0.2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0"/>
    </row>
    <row r="44" spans="1:21" x14ac:dyDescent="0.2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0"/>
    </row>
    <row r="45" spans="1:21" x14ac:dyDescent="0.2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10"/>
    </row>
    <row r="46" spans="1:21" x14ac:dyDescent="0.2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10"/>
    </row>
    <row r="47" spans="1:21" x14ac:dyDescent="0.2">
      <c r="A47" s="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0"/>
    </row>
    <row r="48" spans="1:21" x14ac:dyDescent="0.2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0"/>
    </row>
    <row r="49" spans="1:21" x14ac:dyDescent="0.2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0"/>
    </row>
    <row r="50" spans="1:21" x14ac:dyDescent="0.2">
      <c r="A50" s="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0"/>
    </row>
    <row r="51" spans="1:21" x14ac:dyDescent="0.2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10"/>
    </row>
    <row r="52" spans="1:21" x14ac:dyDescent="0.2">
      <c r="A52" s="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10"/>
    </row>
    <row r="53" spans="1:21" x14ac:dyDescent="0.2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10"/>
    </row>
    <row r="54" spans="1:21" x14ac:dyDescent="0.2">
      <c r="A54" s="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10"/>
    </row>
    <row r="55" spans="1:21" x14ac:dyDescent="0.2">
      <c r="A55" s="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10"/>
    </row>
    <row r="56" spans="1:21" x14ac:dyDescent="0.2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10"/>
    </row>
    <row r="57" spans="1:21" x14ac:dyDescent="0.2">
      <c r="A57" s="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10"/>
    </row>
    <row r="58" spans="1:21" x14ac:dyDescent="0.2">
      <c r="A58" s="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0"/>
    </row>
    <row r="59" spans="1:21" x14ac:dyDescent="0.2">
      <c r="A59" s="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0"/>
    </row>
    <row r="60" spans="1:21" x14ac:dyDescent="0.2">
      <c r="A60" s="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0"/>
    </row>
    <row r="61" spans="1:21" x14ac:dyDescent="0.2">
      <c r="A61" s="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0"/>
    </row>
    <row r="62" spans="1:21" x14ac:dyDescent="0.2">
      <c r="A62" s="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10"/>
    </row>
    <row r="63" spans="1:21" x14ac:dyDescent="0.2">
      <c r="A63" s="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10"/>
    </row>
    <row r="64" spans="1:21" x14ac:dyDescent="0.2">
      <c r="A64" s="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10"/>
    </row>
    <row r="65" spans="1:21" x14ac:dyDescent="0.2">
      <c r="A65" s="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10"/>
    </row>
    <row r="66" spans="1:21" ht="17" thickBot="1" x14ac:dyDescent="0.2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</row>
    <row r="67" spans="1:21" x14ac:dyDescent="0.2">
      <c r="A67" s="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10"/>
    </row>
    <row r="68" spans="1:21" x14ac:dyDescent="0.2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10"/>
    </row>
    <row r="69" spans="1:21" x14ac:dyDescent="0.2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0"/>
    </row>
    <row r="70" spans="1:21" x14ac:dyDescent="0.2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0"/>
    </row>
    <row r="71" spans="1:21" x14ac:dyDescent="0.2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0"/>
    </row>
    <row r="72" spans="1:21" x14ac:dyDescent="0.2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0"/>
    </row>
    <row r="73" spans="1:21" x14ac:dyDescent="0.2">
      <c r="A73" s="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0"/>
    </row>
    <row r="74" spans="1:21" x14ac:dyDescent="0.2">
      <c r="A74" s="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0"/>
    </row>
    <row r="75" spans="1:21" x14ac:dyDescent="0.2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0"/>
    </row>
    <row r="76" spans="1:21" x14ac:dyDescent="0.2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0"/>
    </row>
    <row r="77" spans="1:21" x14ac:dyDescent="0.2">
      <c r="A77" s="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0"/>
    </row>
    <row r="78" spans="1:21" x14ac:dyDescent="0.2">
      <c r="A78" s="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10"/>
    </row>
    <row r="79" spans="1:21" x14ac:dyDescent="0.2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0"/>
    </row>
    <row r="80" spans="1:21" x14ac:dyDescent="0.2">
      <c r="A80" s="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10"/>
    </row>
    <row r="81" spans="1:21" x14ac:dyDescent="0.2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10"/>
    </row>
    <row r="82" spans="1:21" x14ac:dyDescent="0.2">
      <c r="A82" s="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10"/>
    </row>
    <row r="83" spans="1:21" x14ac:dyDescent="0.2">
      <c r="A83" s="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10"/>
    </row>
    <row r="84" spans="1:21" x14ac:dyDescent="0.2">
      <c r="A84" s="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10"/>
    </row>
    <row r="85" spans="1:21" x14ac:dyDescent="0.2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10"/>
    </row>
    <row r="86" spans="1:21" x14ac:dyDescent="0.2">
      <c r="A86" s="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10"/>
    </row>
    <row r="87" spans="1:21" x14ac:dyDescent="0.2">
      <c r="A87" s="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10"/>
    </row>
    <row r="88" spans="1:21" x14ac:dyDescent="0.2">
      <c r="A88" s="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0"/>
    </row>
    <row r="89" spans="1:21" x14ac:dyDescent="0.2">
      <c r="A89" s="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0"/>
    </row>
    <row r="90" spans="1:21" x14ac:dyDescent="0.2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0"/>
    </row>
    <row r="91" spans="1:21" x14ac:dyDescent="0.2">
      <c r="A91" s="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0"/>
    </row>
    <row r="92" spans="1:21" x14ac:dyDescent="0.2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0"/>
    </row>
    <row r="93" spans="1:21" x14ac:dyDescent="0.2">
      <c r="A93" s="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0"/>
    </row>
    <row r="94" spans="1:21" x14ac:dyDescent="0.2">
      <c r="A94" s="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0"/>
    </row>
    <row r="95" spans="1:21" ht="17" thickBot="1" x14ac:dyDescent="0.2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</row>
    <row r="106" spans="12:15" x14ac:dyDescent="0.2">
      <c r="L106" s="3"/>
      <c r="M106" s="3"/>
      <c r="N106" s="3"/>
      <c r="O106" s="3"/>
    </row>
  </sheetData>
  <mergeCells count="6">
    <mergeCell ref="A10:U11"/>
    <mergeCell ref="A1:B2"/>
    <mergeCell ref="C1:R2"/>
    <mergeCell ref="T1:U1"/>
    <mergeCell ref="T2:U2"/>
    <mergeCell ref="D4:T8"/>
  </mergeCells>
  <printOptions horizontalCentered="1"/>
  <pageMargins left="0.25" right="0.25" top="0.75" bottom="0.75" header="0.3" footer="0.3"/>
  <pageSetup paperSize="9" scale="39" orientation="portrait" horizontalDpi="0" verticalDpi="0"/>
  <colBreaks count="1" manualBreakCount="1">
    <brk id="21" max="104857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38A7-57DB-294A-9E53-5A2AA165648E}">
  <dimension ref="A1:Q71"/>
  <sheetViews>
    <sheetView showGridLines="0" view="pageBreakPreview" topLeftCell="C1" zoomScaleNormal="100" zoomScaleSheetLayoutView="100" workbookViewId="0">
      <selection sqref="A1:B2"/>
    </sheetView>
  </sheetViews>
  <sheetFormatPr baseColWidth="10" defaultRowHeight="16" x14ac:dyDescent="0.2"/>
  <cols>
    <col min="15" max="15" width="14.83203125" customWidth="1"/>
    <col min="16" max="16" width="13.83203125" customWidth="1"/>
  </cols>
  <sheetData>
    <row r="1" spans="1:17" ht="34" customHeight="1" x14ac:dyDescent="0.2">
      <c r="A1" s="341" t="s">
        <v>27</v>
      </c>
      <c r="B1" s="34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19" t="s">
        <v>21</v>
      </c>
      <c r="P1" s="311">
        <v>44555</v>
      </c>
      <c r="Q1" s="312"/>
    </row>
    <row r="2" spans="1:17" ht="34" customHeight="1" thickBot="1" x14ac:dyDescent="0.25">
      <c r="A2" s="343"/>
      <c r="B2" s="34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20" t="s">
        <v>20</v>
      </c>
      <c r="P2" s="313">
        <f ca="1">NOW()</f>
        <v>44662.727361805555</v>
      </c>
      <c r="Q2" s="314"/>
    </row>
    <row r="3" spans="1:17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0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0"/>
    </row>
    <row r="5" spans="1:17" s="2" customFormat="1" ht="24" x14ac:dyDescent="0.3">
      <c r="A5" s="23" t="s">
        <v>28</v>
      </c>
      <c r="B5" s="14"/>
      <c r="C5" s="21"/>
      <c r="D5" s="14" t="s">
        <v>54</v>
      </c>
      <c r="E5" s="14"/>
      <c r="F5" s="14"/>
      <c r="G5" s="14"/>
      <c r="H5" s="14"/>
      <c r="I5" s="14"/>
      <c r="J5" s="14"/>
      <c r="K5" s="14"/>
      <c r="L5" s="14"/>
      <c r="M5" s="21"/>
      <c r="N5" s="14"/>
      <c r="O5" s="14"/>
      <c r="P5" s="14"/>
      <c r="Q5" s="22"/>
    </row>
    <row r="6" spans="1:17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0"/>
    </row>
    <row r="7" spans="1:17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0"/>
    </row>
    <row r="8" spans="1:17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0"/>
    </row>
    <row r="9" spans="1:17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0"/>
    </row>
    <row r="10" spans="1:17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0"/>
    </row>
    <row r="11" spans="1:17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0"/>
    </row>
    <row r="12" spans="1:17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0"/>
    </row>
    <row r="13" spans="1:17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0"/>
    </row>
    <row r="14" spans="1:17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0"/>
    </row>
    <row r="15" spans="1:17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0"/>
    </row>
    <row r="16" spans="1:17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0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0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0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0"/>
    </row>
    <row r="20" spans="1:1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0"/>
    </row>
    <row r="21" spans="1:17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0"/>
    </row>
    <row r="22" spans="1:17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0"/>
    </row>
    <row r="23" spans="1:17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0"/>
    </row>
    <row r="24" spans="1:1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0"/>
    </row>
    <row r="25" spans="1:1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0"/>
    </row>
    <row r="26" spans="1:1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0"/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0"/>
    </row>
    <row r="28" spans="1:1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0"/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0"/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0"/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0"/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0"/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0"/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0"/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0"/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0"/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0"/>
    </row>
    <row r="38" spans="1:17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0"/>
    </row>
    <row r="39" spans="1:17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0"/>
    </row>
    <row r="40" spans="1:17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"/>
    </row>
    <row r="41" spans="1:17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0"/>
    </row>
    <row r="42" spans="1:17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</row>
    <row r="43" spans="1:17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0"/>
    </row>
    <row r="44" spans="1:1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0"/>
    </row>
    <row r="45" spans="1:1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0"/>
    </row>
    <row r="46" spans="1:1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0"/>
    </row>
    <row r="47" spans="1:1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0"/>
    </row>
    <row r="48" spans="1:1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0"/>
    </row>
    <row r="49" spans="1:17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0"/>
    </row>
    <row r="50" spans="1:17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0"/>
    </row>
    <row r="51" spans="1:17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0"/>
    </row>
    <row r="52" spans="1:1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0"/>
    </row>
    <row r="53" spans="1:1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0"/>
    </row>
    <row r="54" spans="1:17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0"/>
    </row>
    <row r="55" spans="1:1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0"/>
    </row>
    <row r="56" spans="1:1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0"/>
    </row>
    <row r="57" spans="1:1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0"/>
    </row>
    <row r="58" spans="1:1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0"/>
    </row>
    <row r="59" spans="1:1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0"/>
    </row>
    <row r="60" spans="1:1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0"/>
    </row>
    <row r="61" spans="1:1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0"/>
    </row>
    <row r="62" spans="1:1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0"/>
    </row>
    <row r="63" spans="1:1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0"/>
    </row>
    <row r="64" spans="1:1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0"/>
    </row>
    <row r="65" spans="1:1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0"/>
    </row>
    <row r="66" spans="1:1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0"/>
    </row>
    <row r="67" spans="1:1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0"/>
    </row>
    <row r="68" spans="1:1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0"/>
    </row>
    <row r="69" spans="1:1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0"/>
    </row>
    <row r="70" spans="1:1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0"/>
    </row>
    <row r="71" spans="1:17" ht="17" thickBot="1" x14ac:dyDescent="0.25">
      <c r="A71" s="11"/>
      <c r="B71" s="12"/>
      <c r="C71" s="12"/>
      <c r="D71" s="12"/>
      <c r="E71" s="12"/>
      <c r="F71" s="12"/>
      <c r="G71" s="12"/>
      <c r="H71" s="12"/>
      <c r="I71" s="3"/>
      <c r="J71" s="12"/>
      <c r="K71" s="12"/>
      <c r="L71" s="12"/>
      <c r="M71" s="12"/>
      <c r="N71" s="12"/>
      <c r="O71" s="12"/>
      <c r="P71" s="12"/>
      <c r="Q71" s="13"/>
    </row>
  </sheetData>
  <mergeCells count="4">
    <mergeCell ref="A1:B2"/>
    <mergeCell ref="C1:N2"/>
    <mergeCell ref="P1:Q1"/>
    <mergeCell ref="P2:Q2"/>
  </mergeCells>
  <pageMargins left="0.7" right="0.7" top="0.75" bottom="0.75" header="0.3" footer="0.3"/>
  <pageSetup paperSize="9" scale="43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41D3-3966-FF4F-956B-8F55AAD5228D}">
  <sheetPr>
    <pageSetUpPr fitToPage="1"/>
  </sheetPr>
  <dimension ref="A1:S62"/>
  <sheetViews>
    <sheetView showGridLines="0" view="pageBreakPreview" zoomScaleNormal="100" zoomScaleSheetLayoutView="100" workbookViewId="0">
      <selection activeCell="V24" sqref="V24"/>
    </sheetView>
  </sheetViews>
  <sheetFormatPr baseColWidth="10" defaultRowHeight="16" x14ac:dyDescent="0.2"/>
  <cols>
    <col min="15" max="15" width="14.83203125" customWidth="1"/>
    <col min="16" max="16" width="13.83203125" customWidth="1"/>
  </cols>
  <sheetData>
    <row r="1" spans="1:19" ht="34" customHeight="1" x14ac:dyDescent="0.2">
      <c r="A1" s="301" t="s">
        <v>126</v>
      </c>
      <c r="B1" s="30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19" t="s">
        <v>21</v>
      </c>
      <c r="P1" s="311">
        <v>44555</v>
      </c>
      <c r="Q1" s="312"/>
    </row>
    <row r="2" spans="1:19" ht="34" customHeight="1" thickBot="1" x14ac:dyDescent="0.25">
      <c r="A2" s="303"/>
      <c r="B2" s="30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20" t="s">
        <v>20</v>
      </c>
      <c r="P2" s="313">
        <f ca="1">NOW()</f>
        <v>44662.727361805555</v>
      </c>
      <c r="Q2" s="314"/>
    </row>
    <row r="3" spans="1:19" x14ac:dyDescent="0.2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0"/>
    </row>
    <row r="4" spans="1:19" x14ac:dyDescent="0.2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0"/>
    </row>
    <row r="5" spans="1:19" s="2" customFormat="1" ht="24" x14ac:dyDescent="0.3">
      <c r="A5" s="35"/>
      <c r="B5" s="67" t="s">
        <v>129</v>
      </c>
      <c r="C5" s="21"/>
      <c r="D5" s="14"/>
      <c r="E5" s="14"/>
      <c r="F5" s="14"/>
      <c r="G5" s="14"/>
      <c r="H5" s="14"/>
      <c r="I5" s="14"/>
      <c r="J5" s="14"/>
      <c r="K5" s="14"/>
      <c r="L5" s="14"/>
      <c r="M5" s="21"/>
      <c r="N5" s="14"/>
      <c r="O5" s="14"/>
      <c r="P5" s="14"/>
      <c r="Q5" s="22"/>
    </row>
    <row r="6" spans="1:19" ht="24" x14ac:dyDescent="0.3">
      <c r="A6" s="206"/>
      <c r="B6" s="44"/>
      <c r="C6" s="44">
        <v>1</v>
      </c>
      <c r="D6" s="205" t="s">
        <v>177</v>
      </c>
      <c r="E6" s="205"/>
      <c r="F6" s="205"/>
      <c r="G6" s="205"/>
      <c r="H6" s="205"/>
      <c r="I6" s="205"/>
      <c r="J6" s="205"/>
      <c r="K6" s="44"/>
      <c r="L6" s="44"/>
      <c r="M6" s="44"/>
      <c r="N6" s="44"/>
      <c r="O6" s="44"/>
      <c r="P6" s="44"/>
      <c r="Q6" s="201"/>
      <c r="R6" s="62"/>
      <c r="S6" s="62"/>
    </row>
    <row r="7" spans="1:19" ht="24" x14ac:dyDescent="0.3">
      <c r="A7" s="206"/>
      <c r="B7" s="44"/>
      <c r="C7" s="44">
        <v>2</v>
      </c>
      <c r="D7" s="205" t="s">
        <v>130</v>
      </c>
      <c r="E7" s="205"/>
      <c r="F7" s="205"/>
      <c r="G7" s="205"/>
      <c r="H7" s="205"/>
      <c r="I7" s="205"/>
      <c r="J7" s="205"/>
      <c r="K7" s="44"/>
      <c r="L7" s="44"/>
      <c r="M7" s="44"/>
      <c r="N7" s="44"/>
      <c r="O7" s="44"/>
      <c r="P7" s="44"/>
      <c r="Q7" s="201"/>
      <c r="R7" s="62"/>
      <c r="S7" s="62"/>
    </row>
    <row r="8" spans="1:19" ht="24" x14ac:dyDescent="0.3">
      <c r="A8" s="206"/>
      <c r="B8" s="44"/>
      <c r="C8" s="44">
        <v>3</v>
      </c>
      <c r="D8" s="205" t="s">
        <v>131</v>
      </c>
      <c r="E8" s="205"/>
      <c r="F8" s="205"/>
      <c r="G8" s="205"/>
      <c r="H8" s="205"/>
      <c r="I8" s="205"/>
      <c r="J8" s="205"/>
      <c r="K8" s="44"/>
      <c r="L8" s="44"/>
      <c r="M8" s="44"/>
      <c r="N8" s="44"/>
      <c r="O8" s="44"/>
      <c r="P8" s="44"/>
      <c r="Q8" s="201"/>
      <c r="R8" s="62"/>
      <c r="S8" s="62"/>
    </row>
    <row r="9" spans="1:19" ht="24" x14ac:dyDescent="0.3">
      <c r="A9" s="206"/>
      <c r="B9" s="44"/>
      <c r="C9" s="44">
        <v>4</v>
      </c>
      <c r="D9" s="205" t="s">
        <v>132</v>
      </c>
      <c r="E9" s="205"/>
      <c r="F9" s="205"/>
      <c r="G9" s="205"/>
      <c r="H9" s="205"/>
      <c r="I9" s="205"/>
      <c r="J9" s="205"/>
      <c r="K9" s="44"/>
      <c r="L9" s="44"/>
      <c r="M9" s="44"/>
      <c r="N9" s="44"/>
      <c r="O9" s="44"/>
      <c r="P9" s="44"/>
      <c r="Q9" s="201"/>
      <c r="R9" s="62"/>
      <c r="S9" s="62"/>
    </row>
    <row r="10" spans="1:19" ht="24" x14ac:dyDescent="0.3">
      <c r="A10" s="206"/>
      <c r="B10" s="44"/>
      <c r="C10" s="44">
        <v>5</v>
      </c>
      <c r="D10" s="205" t="s">
        <v>133</v>
      </c>
      <c r="E10" s="205"/>
      <c r="F10" s="205"/>
      <c r="G10" s="205"/>
      <c r="H10" s="205"/>
      <c r="I10" s="205"/>
      <c r="J10" s="205"/>
      <c r="K10" s="44"/>
      <c r="L10" s="44"/>
      <c r="M10" s="44"/>
      <c r="N10" s="44"/>
      <c r="O10" s="44"/>
      <c r="P10" s="44"/>
      <c r="Q10" s="201"/>
      <c r="R10" s="62"/>
      <c r="S10" s="62"/>
    </row>
    <row r="11" spans="1:19" ht="24" x14ac:dyDescent="0.3">
      <c r="A11" s="206"/>
      <c r="B11" s="44"/>
      <c r="C11" s="44">
        <v>6</v>
      </c>
      <c r="D11" s="205" t="s">
        <v>134</v>
      </c>
      <c r="E11" s="205"/>
      <c r="F11" s="205"/>
      <c r="G11" s="205"/>
      <c r="H11" s="205"/>
      <c r="I11" s="205"/>
      <c r="J11" s="205"/>
      <c r="K11" s="44"/>
      <c r="L11" s="44"/>
      <c r="M11" s="44"/>
      <c r="N11" s="44"/>
      <c r="O11" s="44"/>
      <c r="P11" s="44"/>
      <c r="Q11" s="201"/>
      <c r="R11" s="62"/>
      <c r="S11" s="62"/>
    </row>
    <row r="12" spans="1:19" ht="24" x14ac:dyDescent="0.3">
      <c r="A12" s="206"/>
      <c r="B12" s="44"/>
      <c r="C12" s="44"/>
      <c r="D12" s="204" t="s">
        <v>135</v>
      </c>
      <c r="E12" s="204"/>
      <c r="F12" s="204"/>
      <c r="G12" s="204"/>
      <c r="H12" s="204"/>
      <c r="I12" s="44"/>
      <c r="J12" s="44"/>
      <c r="K12" s="44"/>
      <c r="L12" s="44"/>
      <c r="M12" s="44"/>
      <c r="N12" s="44"/>
      <c r="O12" s="44"/>
      <c r="P12" s="44"/>
      <c r="Q12" s="201"/>
      <c r="R12" s="62"/>
      <c r="S12" s="62"/>
    </row>
    <row r="13" spans="1:19" ht="24" x14ac:dyDescent="0.3">
      <c r="A13" s="206"/>
      <c r="B13" s="44"/>
      <c r="C13" s="44"/>
      <c r="D13" s="204" t="s">
        <v>172</v>
      </c>
      <c r="E13" s="204"/>
      <c r="F13" s="204"/>
      <c r="G13" s="204"/>
      <c r="H13" s="204"/>
      <c r="I13" s="44"/>
      <c r="J13" s="44"/>
      <c r="K13" s="44"/>
      <c r="L13" s="44"/>
      <c r="M13" s="44"/>
      <c r="N13" s="44"/>
      <c r="O13" s="44"/>
      <c r="P13" s="44"/>
      <c r="Q13" s="201"/>
      <c r="R13" s="62"/>
      <c r="S13" s="62"/>
    </row>
    <row r="14" spans="1:19" ht="24" x14ac:dyDescent="0.3">
      <c r="A14" s="206"/>
      <c r="B14" s="44"/>
      <c r="C14" s="44"/>
      <c r="D14" s="204" t="s">
        <v>173</v>
      </c>
      <c r="E14" s="204"/>
      <c r="F14" s="204"/>
      <c r="G14" s="204"/>
      <c r="H14" s="204"/>
      <c r="I14" s="44"/>
      <c r="J14" s="44"/>
      <c r="K14" s="44"/>
      <c r="L14" s="44"/>
      <c r="M14" s="44"/>
      <c r="N14" s="44"/>
      <c r="O14" s="44"/>
      <c r="P14" s="44"/>
      <c r="Q14" s="201"/>
      <c r="R14" s="62"/>
      <c r="S14" s="62"/>
    </row>
    <row r="15" spans="1:19" ht="24" x14ac:dyDescent="0.3">
      <c r="A15" s="206"/>
      <c r="B15" s="44"/>
      <c r="C15" s="44"/>
      <c r="D15" s="204" t="s">
        <v>174</v>
      </c>
      <c r="E15" s="204"/>
      <c r="F15" s="204"/>
      <c r="G15" s="204"/>
      <c r="H15" s="204"/>
      <c r="I15" s="44"/>
      <c r="J15" s="44"/>
      <c r="K15" s="44"/>
      <c r="L15" s="44"/>
      <c r="M15" s="44"/>
      <c r="N15" s="44"/>
      <c r="O15" s="44"/>
      <c r="P15" s="44"/>
      <c r="Q15" s="201"/>
      <c r="R15" s="62"/>
      <c r="S15" s="62"/>
    </row>
    <row r="16" spans="1:19" ht="24" x14ac:dyDescent="0.3">
      <c r="A16" s="206"/>
      <c r="B16" s="44"/>
      <c r="C16" s="44"/>
      <c r="D16" s="204" t="s">
        <v>136</v>
      </c>
      <c r="E16" s="204"/>
      <c r="F16" s="204"/>
      <c r="G16" s="204"/>
      <c r="H16" s="204"/>
      <c r="I16" s="44"/>
      <c r="J16" s="44"/>
      <c r="K16" s="44"/>
      <c r="L16" s="44"/>
      <c r="M16" s="44"/>
      <c r="N16" s="44"/>
      <c r="O16" s="44"/>
      <c r="P16" s="44"/>
      <c r="Q16" s="201"/>
      <c r="R16" s="62"/>
      <c r="S16" s="62"/>
    </row>
    <row r="17" spans="1:19" ht="24" x14ac:dyDescent="0.3">
      <c r="A17" s="206"/>
      <c r="B17" s="44"/>
      <c r="C17" s="44"/>
      <c r="D17" s="204" t="s">
        <v>137</v>
      </c>
      <c r="E17" s="204"/>
      <c r="F17" s="204"/>
      <c r="G17" s="204"/>
      <c r="H17" s="204"/>
      <c r="I17" s="44"/>
      <c r="J17" s="44"/>
      <c r="K17" s="44"/>
      <c r="L17" s="44"/>
      <c r="M17" s="44"/>
      <c r="N17" s="44"/>
      <c r="O17" s="44"/>
      <c r="P17" s="44"/>
      <c r="Q17" s="201"/>
      <c r="R17" s="62"/>
      <c r="S17" s="62"/>
    </row>
    <row r="18" spans="1:19" ht="24" x14ac:dyDescent="0.3">
      <c r="A18" s="206"/>
      <c r="B18" s="44"/>
      <c r="C18" s="44"/>
      <c r="D18" s="204" t="s">
        <v>138</v>
      </c>
      <c r="E18" s="204"/>
      <c r="F18" s="204"/>
      <c r="G18" s="204"/>
      <c r="H18" s="204"/>
      <c r="I18" s="44"/>
      <c r="J18" s="44"/>
      <c r="K18" s="44"/>
      <c r="L18" s="44"/>
      <c r="M18" s="44"/>
      <c r="N18" s="44"/>
      <c r="O18" s="44"/>
      <c r="P18" s="44"/>
      <c r="Q18" s="201"/>
      <c r="R18" s="62"/>
      <c r="S18" s="62"/>
    </row>
    <row r="19" spans="1:19" ht="24" x14ac:dyDescent="0.3">
      <c r="A19" s="206"/>
      <c r="B19" s="44"/>
      <c r="C19" s="44">
        <v>7</v>
      </c>
      <c r="D19" s="205" t="s">
        <v>153</v>
      </c>
      <c r="E19" s="204"/>
      <c r="F19" s="204"/>
      <c r="G19" s="204"/>
      <c r="H19" s="204"/>
      <c r="I19" s="44"/>
      <c r="J19" s="44"/>
      <c r="K19" s="44"/>
      <c r="L19" s="44"/>
      <c r="M19" s="44"/>
      <c r="N19" s="44"/>
      <c r="O19" s="44"/>
      <c r="P19" s="44"/>
      <c r="Q19" s="201"/>
      <c r="R19" s="62"/>
      <c r="S19" s="62"/>
    </row>
    <row r="20" spans="1:19" ht="24" x14ac:dyDescent="0.3">
      <c r="A20" s="206"/>
      <c r="B20" s="44"/>
      <c r="C20" s="44">
        <v>8</v>
      </c>
      <c r="D20" s="205" t="s">
        <v>154</v>
      </c>
      <c r="E20" s="204"/>
      <c r="F20" s="204"/>
      <c r="G20" s="204"/>
      <c r="H20" s="204"/>
      <c r="I20" s="44"/>
      <c r="J20" s="44"/>
      <c r="K20" s="44"/>
      <c r="L20" s="44"/>
      <c r="M20" s="44"/>
      <c r="N20" s="44"/>
      <c r="O20" s="44"/>
      <c r="P20" s="44"/>
      <c r="Q20" s="201"/>
      <c r="R20" s="62"/>
      <c r="S20" s="62"/>
    </row>
    <row r="21" spans="1:19" ht="24" x14ac:dyDescent="0.3">
      <c r="A21" s="206"/>
      <c r="B21" s="44"/>
      <c r="C21" s="44">
        <v>9</v>
      </c>
      <c r="D21" s="205" t="s">
        <v>156</v>
      </c>
      <c r="E21" s="204"/>
      <c r="F21" s="204"/>
      <c r="G21" s="204"/>
      <c r="H21" s="204"/>
      <c r="I21" s="44"/>
      <c r="J21" s="44"/>
      <c r="K21" s="44"/>
      <c r="L21" s="44"/>
      <c r="M21" s="44"/>
      <c r="N21" s="44"/>
      <c r="O21" s="44"/>
      <c r="P21" s="44"/>
      <c r="Q21" s="201"/>
      <c r="R21" s="62"/>
      <c r="S21" s="62"/>
    </row>
    <row r="22" spans="1:19" ht="24" x14ac:dyDescent="0.3">
      <c r="A22" s="206"/>
      <c r="B22" s="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201"/>
      <c r="R22" s="62"/>
      <c r="S22" s="62"/>
    </row>
    <row r="23" spans="1:19" ht="24" x14ac:dyDescent="0.3">
      <c r="A23" s="206"/>
      <c r="B23" s="67" t="s">
        <v>139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201"/>
      <c r="R23" s="62"/>
      <c r="S23" s="62"/>
    </row>
    <row r="24" spans="1:19" ht="24" x14ac:dyDescent="0.3">
      <c r="A24" s="206"/>
      <c r="B24" s="44"/>
      <c r="C24" s="44">
        <v>1</v>
      </c>
      <c r="D24" s="205" t="s">
        <v>140</v>
      </c>
      <c r="E24" s="205"/>
      <c r="F24" s="205"/>
      <c r="G24" s="205"/>
      <c r="H24" s="44"/>
      <c r="I24" s="44"/>
      <c r="J24" s="44"/>
      <c r="K24" s="44"/>
      <c r="L24" s="44"/>
      <c r="M24" s="44"/>
      <c r="N24" s="44"/>
      <c r="O24" s="44"/>
      <c r="P24" s="44"/>
      <c r="Q24" s="201"/>
      <c r="R24" s="62"/>
      <c r="S24" s="62"/>
    </row>
    <row r="25" spans="1:19" ht="24" x14ac:dyDescent="0.3">
      <c r="A25" s="206"/>
      <c r="B25" s="44"/>
      <c r="C25" s="44">
        <v>2</v>
      </c>
      <c r="D25" s="205" t="s">
        <v>146</v>
      </c>
      <c r="E25" s="205"/>
      <c r="F25" s="205"/>
      <c r="G25" s="205"/>
      <c r="H25" s="44"/>
      <c r="I25" s="44"/>
      <c r="J25" s="44"/>
      <c r="K25" s="44"/>
      <c r="L25" s="44"/>
      <c r="M25" s="44"/>
      <c r="N25" s="44"/>
      <c r="O25" s="44"/>
      <c r="P25" s="44"/>
      <c r="Q25" s="201"/>
      <c r="R25" s="62"/>
      <c r="S25" s="62"/>
    </row>
    <row r="26" spans="1:19" ht="24" x14ac:dyDescent="0.3">
      <c r="A26" s="206"/>
      <c r="B26" s="44"/>
      <c r="C26" s="44">
        <v>3</v>
      </c>
      <c r="D26" s="205" t="s">
        <v>141</v>
      </c>
      <c r="E26" s="205"/>
      <c r="F26" s="205"/>
      <c r="G26" s="205"/>
      <c r="H26" s="44"/>
      <c r="I26" s="44"/>
      <c r="J26" s="44"/>
      <c r="K26" s="44"/>
      <c r="L26" s="44"/>
      <c r="M26" s="44"/>
      <c r="N26" s="44"/>
      <c r="O26" s="44"/>
      <c r="P26" s="44"/>
      <c r="Q26" s="201"/>
      <c r="R26" s="62"/>
      <c r="S26" s="62"/>
    </row>
    <row r="27" spans="1:19" ht="24" x14ac:dyDescent="0.3">
      <c r="A27" s="206"/>
      <c r="B27" s="44"/>
      <c r="C27" s="44">
        <v>4</v>
      </c>
      <c r="D27" s="205" t="s">
        <v>142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201"/>
      <c r="R27" s="62"/>
      <c r="S27" s="62"/>
    </row>
    <row r="28" spans="1:19" ht="24" x14ac:dyDescent="0.3">
      <c r="A28" s="206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201"/>
      <c r="R28" s="62"/>
      <c r="S28" s="62"/>
    </row>
    <row r="29" spans="1:19" ht="24" x14ac:dyDescent="0.3">
      <c r="A29" s="206"/>
      <c r="B29" s="67" t="s">
        <v>143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201"/>
      <c r="R29" s="62"/>
      <c r="S29" s="62"/>
    </row>
    <row r="30" spans="1:19" ht="24" x14ac:dyDescent="0.3">
      <c r="A30" s="206"/>
      <c r="B30" s="44"/>
      <c r="C30" s="44">
        <v>1</v>
      </c>
      <c r="D30" s="205" t="s">
        <v>144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201"/>
      <c r="R30" s="62"/>
      <c r="S30" s="62"/>
    </row>
    <row r="31" spans="1:19" ht="24" x14ac:dyDescent="0.3">
      <c r="A31" s="206"/>
      <c r="B31" s="44"/>
      <c r="C31" s="44">
        <v>2</v>
      </c>
      <c r="D31" s="205" t="s">
        <v>145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201"/>
      <c r="R31" s="62"/>
      <c r="S31" s="62"/>
    </row>
    <row r="32" spans="1:19" ht="24" x14ac:dyDescent="0.3">
      <c r="A32" s="206"/>
      <c r="B32" s="44"/>
      <c r="C32" s="44">
        <v>3</v>
      </c>
      <c r="D32" s="205" t="s">
        <v>147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201"/>
      <c r="R32" s="62"/>
      <c r="S32" s="62"/>
    </row>
    <row r="33" spans="1:19" ht="24" x14ac:dyDescent="0.3">
      <c r="A33" s="206"/>
      <c r="B33" s="44"/>
      <c r="C33" s="44">
        <v>4</v>
      </c>
      <c r="D33" s="205" t="s">
        <v>148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201"/>
      <c r="R33" s="62"/>
      <c r="S33" s="62"/>
    </row>
    <row r="34" spans="1:19" ht="24" x14ac:dyDescent="0.3">
      <c r="A34" s="206"/>
      <c r="B34" s="44"/>
      <c r="C34" s="44">
        <v>5</v>
      </c>
      <c r="D34" s="205" t="s">
        <v>149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201"/>
      <c r="R34" s="62"/>
      <c r="S34" s="62"/>
    </row>
    <row r="35" spans="1:19" ht="24" x14ac:dyDescent="0.3">
      <c r="A35" s="206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201"/>
      <c r="R35" s="62"/>
      <c r="S35" s="62"/>
    </row>
    <row r="36" spans="1:19" ht="24" x14ac:dyDescent="0.3">
      <c r="A36" s="206"/>
      <c r="B36" s="67" t="s">
        <v>151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201"/>
      <c r="R36" s="62"/>
      <c r="S36" s="62"/>
    </row>
    <row r="37" spans="1:19" ht="24" x14ac:dyDescent="0.3">
      <c r="A37" s="206"/>
      <c r="B37" s="44"/>
      <c r="C37" s="44">
        <v>1</v>
      </c>
      <c r="D37" s="205" t="s">
        <v>150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201"/>
      <c r="R37" s="62"/>
      <c r="S37" s="62"/>
    </row>
    <row r="38" spans="1:19" ht="24" x14ac:dyDescent="0.3">
      <c r="A38" s="206"/>
      <c r="B38" s="44"/>
      <c r="C38" s="44">
        <v>2</v>
      </c>
      <c r="D38" s="205" t="s">
        <v>152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201"/>
      <c r="R38" s="62"/>
      <c r="S38" s="62"/>
    </row>
    <row r="39" spans="1:19" ht="24" x14ac:dyDescent="0.3">
      <c r="A39" s="206"/>
      <c r="B39" s="44"/>
      <c r="C39" s="44">
        <v>3</v>
      </c>
      <c r="D39" s="205" t="s">
        <v>155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201"/>
      <c r="R39" s="62"/>
      <c r="S39" s="62"/>
    </row>
    <row r="40" spans="1:19" ht="24" x14ac:dyDescent="0.3">
      <c r="A40" s="20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201"/>
      <c r="R40" s="62"/>
      <c r="S40" s="62"/>
    </row>
    <row r="41" spans="1:19" ht="24" x14ac:dyDescent="0.3">
      <c r="A41" s="206"/>
      <c r="B41" s="67" t="s">
        <v>157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201"/>
      <c r="R41" s="62"/>
      <c r="S41" s="62"/>
    </row>
    <row r="42" spans="1:19" ht="24" x14ac:dyDescent="0.3">
      <c r="A42" s="206"/>
      <c r="B42" s="44"/>
      <c r="C42" s="44">
        <v>1</v>
      </c>
      <c r="D42" s="205" t="s">
        <v>158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201"/>
      <c r="R42" s="62"/>
      <c r="S42" s="62"/>
    </row>
    <row r="43" spans="1:19" ht="24" x14ac:dyDescent="0.3">
      <c r="A43" s="206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201"/>
      <c r="R43" s="62"/>
      <c r="S43" s="62"/>
    </row>
    <row r="44" spans="1:19" ht="24" x14ac:dyDescent="0.3">
      <c r="A44" s="206"/>
      <c r="B44" s="67" t="s">
        <v>159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201"/>
      <c r="R44" s="62"/>
      <c r="S44" s="62"/>
    </row>
    <row r="45" spans="1:19" ht="24" x14ac:dyDescent="0.3">
      <c r="A45" s="206"/>
      <c r="B45" s="44"/>
      <c r="C45" s="44">
        <v>1</v>
      </c>
      <c r="D45" s="205" t="s">
        <v>160</v>
      </c>
      <c r="E45" s="205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201"/>
      <c r="R45" s="62"/>
      <c r="S45" s="62"/>
    </row>
    <row r="46" spans="1:19" ht="24" x14ac:dyDescent="0.3">
      <c r="A46" s="206"/>
      <c r="B46" s="44"/>
      <c r="C46" s="44">
        <v>2</v>
      </c>
      <c r="D46" s="205" t="s">
        <v>161</v>
      </c>
      <c r="E46" s="205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201"/>
      <c r="R46" s="62"/>
      <c r="S46" s="62"/>
    </row>
    <row r="47" spans="1:19" ht="24" x14ac:dyDescent="0.3">
      <c r="A47" s="206"/>
      <c r="B47" s="44"/>
      <c r="C47" s="44">
        <v>3</v>
      </c>
      <c r="D47" s="205" t="s">
        <v>162</v>
      </c>
      <c r="E47" s="20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201"/>
      <c r="R47" s="62"/>
      <c r="S47" s="62"/>
    </row>
    <row r="48" spans="1:19" ht="24" x14ac:dyDescent="0.3">
      <c r="A48" s="206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201"/>
      <c r="R48" s="62"/>
      <c r="S48" s="62"/>
    </row>
    <row r="49" spans="1:19" ht="24" x14ac:dyDescent="0.3">
      <c r="A49" s="206"/>
      <c r="B49" s="67" t="s">
        <v>163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201"/>
      <c r="R49" s="62"/>
      <c r="S49" s="62"/>
    </row>
    <row r="50" spans="1:19" ht="24" x14ac:dyDescent="0.3">
      <c r="A50" s="206"/>
      <c r="B50" s="44"/>
      <c r="C50" s="44">
        <v>1</v>
      </c>
      <c r="D50" s="205" t="s">
        <v>164</v>
      </c>
      <c r="E50" s="205"/>
      <c r="F50" s="205"/>
      <c r="G50" s="205"/>
      <c r="H50" s="205"/>
      <c r="I50" s="44"/>
      <c r="J50" s="44"/>
      <c r="K50" s="44"/>
      <c r="L50" s="44"/>
      <c r="M50" s="44"/>
      <c r="N50" s="44"/>
      <c r="O50" s="44"/>
      <c r="P50" s="44"/>
      <c r="Q50" s="201"/>
      <c r="R50" s="62"/>
      <c r="S50" s="62"/>
    </row>
    <row r="51" spans="1:19" ht="24" x14ac:dyDescent="0.3">
      <c r="A51" s="206"/>
      <c r="B51" s="44"/>
      <c r="C51" s="44">
        <v>2</v>
      </c>
      <c r="D51" s="205" t="s">
        <v>165</v>
      </c>
      <c r="E51" s="205"/>
      <c r="F51" s="205"/>
      <c r="G51" s="205"/>
      <c r="H51" s="205"/>
      <c r="I51" s="44"/>
      <c r="J51" s="44"/>
      <c r="K51" s="44"/>
      <c r="L51" s="44"/>
      <c r="M51" s="44"/>
      <c r="N51" s="44"/>
      <c r="O51" s="44"/>
      <c r="P51" s="44"/>
      <c r="Q51" s="201"/>
      <c r="R51" s="62"/>
      <c r="S51" s="62"/>
    </row>
    <row r="52" spans="1:19" ht="24" x14ac:dyDescent="0.3">
      <c r="A52" s="206"/>
      <c r="B52" s="44"/>
      <c r="C52" s="44">
        <v>3</v>
      </c>
      <c r="D52" s="205" t="s">
        <v>166</v>
      </c>
      <c r="E52" s="205"/>
      <c r="F52" s="205"/>
      <c r="G52" s="205"/>
      <c r="H52" s="205"/>
      <c r="I52" s="44"/>
      <c r="J52" s="44"/>
      <c r="K52" s="44"/>
      <c r="L52" s="44"/>
      <c r="M52" s="44"/>
      <c r="N52" s="44"/>
      <c r="O52" s="44"/>
      <c r="P52" s="44"/>
      <c r="Q52" s="201"/>
      <c r="R52" s="62"/>
      <c r="S52" s="62"/>
    </row>
    <row r="53" spans="1:19" ht="24" x14ac:dyDescent="0.3">
      <c r="A53" s="206"/>
      <c r="B53" s="44"/>
      <c r="C53" s="44">
        <v>4</v>
      </c>
      <c r="D53" s="205" t="s">
        <v>167</v>
      </c>
      <c r="E53" s="205"/>
      <c r="F53" s="205"/>
      <c r="G53" s="205"/>
      <c r="H53" s="205"/>
      <c r="I53" s="44"/>
      <c r="J53" s="44"/>
      <c r="K53" s="44"/>
      <c r="L53" s="44"/>
      <c r="M53" s="44"/>
      <c r="N53" s="44"/>
      <c r="O53" s="44"/>
      <c r="P53" s="44"/>
      <c r="Q53" s="201"/>
      <c r="R53" s="62"/>
      <c r="S53" s="62"/>
    </row>
    <row r="54" spans="1:19" ht="24" x14ac:dyDescent="0.3">
      <c r="A54" s="206"/>
      <c r="B54" s="44"/>
      <c r="C54" s="44">
        <v>5</v>
      </c>
      <c r="D54" s="205" t="s">
        <v>168</v>
      </c>
      <c r="E54" s="205"/>
      <c r="F54" s="205"/>
      <c r="G54" s="205"/>
      <c r="H54" s="205"/>
      <c r="I54" s="44"/>
      <c r="J54" s="44"/>
      <c r="K54" s="44"/>
      <c r="L54" s="44"/>
      <c r="M54" s="44"/>
      <c r="N54" s="44"/>
      <c r="O54" s="44"/>
      <c r="P54" s="44"/>
      <c r="Q54" s="201"/>
      <c r="R54" s="62"/>
      <c r="S54" s="62"/>
    </row>
    <row r="55" spans="1:19" ht="24" x14ac:dyDescent="0.3">
      <c r="A55" s="206"/>
      <c r="B55" s="44"/>
      <c r="C55" s="44">
        <v>6</v>
      </c>
      <c r="D55" s="205" t="s">
        <v>169</v>
      </c>
      <c r="E55" s="205"/>
      <c r="F55" s="205"/>
      <c r="G55" s="205"/>
      <c r="H55" s="205"/>
      <c r="I55" s="44"/>
      <c r="J55" s="44"/>
      <c r="K55" s="44"/>
      <c r="L55" s="44"/>
      <c r="M55" s="44"/>
      <c r="N55" s="44"/>
      <c r="O55" s="44"/>
      <c r="P55" s="44"/>
      <c r="Q55" s="201"/>
      <c r="R55" s="62"/>
      <c r="S55" s="62"/>
    </row>
    <row r="56" spans="1:19" ht="24" x14ac:dyDescent="0.3">
      <c r="A56" s="206"/>
      <c r="B56" s="44"/>
      <c r="C56" s="44">
        <v>7</v>
      </c>
      <c r="D56" s="205" t="s">
        <v>155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201"/>
      <c r="R56" s="62"/>
      <c r="S56" s="62"/>
    </row>
    <row r="57" spans="1:19" ht="24" x14ac:dyDescent="0.3">
      <c r="A57" s="206"/>
      <c r="B57" s="44"/>
      <c r="C57" s="44">
        <v>8</v>
      </c>
      <c r="D57" s="205" t="s">
        <v>170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201"/>
      <c r="R57" s="62"/>
      <c r="S57" s="62"/>
    </row>
    <row r="58" spans="1:19" ht="24" x14ac:dyDescent="0.3">
      <c r="A58" s="206"/>
      <c r="B58" s="44"/>
      <c r="C58" s="44">
        <v>9</v>
      </c>
      <c r="D58" s="205" t="s">
        <v>171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201"/>
      <c r="R58" s="62"/>
      <c r="S58" s="62"/>
    </row>
    <row r="59" spans="1:19" ht="24" x14ac:dyDescent="0.3">
      <c r="A59" s="206"/>
      <c r="B59" s="44"/>
      <c r="C59" s="44">
        <v>10</v>
      </c>
      <c r="D59" s="205" t="s">
        <v>175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201"/>
      <c r="R59" s="62"/>
      <c r="S59" s="62"/>
    </row>
    <row r="60" spans="1:19" ht="24" x14ac:dyDescent="0.3">
      <c r="A60" s="206"/>
      <c r="B60" s="44"/>
      <c r="C60" s="44">
        <v>11</v>
      </c>
      <c r="D60" s="205" t="s">
        <v>176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201"/>
      <c r="R60" s="62"/>
      <c r="S60" s="62"/>
    </row>
    <row r="61" spans="1:19" ht="24" x14ac:dyDescent="0.3">
      <c r="A61" s="206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201"/>
      <c r="R61" s="62"/>
      <c r="S61" s="62"/>
    </row>
    <row r="62" spans="1:19" ht="25" thickBot="1" x14ac:dyDescent="0.35">
      <c r="A62" s="45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3"/>
      <c r="R62" s="62"/>
      <c r="S62" s="62"/>
    </row>
  </sheetData>
  <mergeCells count="4">
    <mergeCell ref="A1:B2"/>
    <mergeCell ref="C1:N2"/>
    <mergeCell ref="P1:Q1"/>
    <mergeCell ref="P2:Q2"/>
  </mergeCells>
  <printOptions horizontalCentered="1" verticalCentered="1"/>
  <pageMargins left="0.25" right="0.25" top="0.75" bottom="0.75" header="0.3" footer="0.3"/>
  <pageSetup paperSize="9" scale="48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7DD3-54BE-0B47-9A75-C513CCBC9952}">
  <dimension ref="A1:P335"/>
  <sheetViews>
    <sheetView showGridLines="0" tabSelected="1" view="pageBreakPreview" topLeftCell="A290" zoomScale="60" zoomScaleNormal="100" workbookViewId="0">
      <selection activeCell="D330" sqref="D330"/>
    </sheetView>
  </sheetViews>
  <sheetFormatPr baseColWidth="10" defaultRowHeight="16" x14ac:dyDescent="0.2"/>
  <cols>
    <col min="2" max="2" width="9.1640625" customWidth="1"/>
    <col min="3" max="3" width="24.6640625" bestFit="1" customWidth="1"/>
    <col min="4" max="4" width="18" customWidth="1"/>
    <col min="5" max="5" width="20.33203125" customWidth="1"/>
    <col min="6" max="8" width="13.6640625" customWidth="1"/>
    <col min="9" max="10" width="14.5" bestFit="1" customWidth="1"/>
    <col min="11" max="11" width="13.6640625" customWidth="1"/>
    <col min="12" max="12" width="27.83203125" customWidth="1"/>
    <col min="14" max="14" width="14.83203125" customWidth="1"/>
    <col min="15" max="15" width="13.83203125" customWidth="1"/>
  </cols>
  <sheetData>
    <row r="1" spans="1:16" ht="34" customHeight="1" x14ac:dyDescent="0.2">
      <c r="A1" s="341" t="s">
        <v>40</v>
      </c>
      <c r="B1" s="342"/>
      <c r="C1" s="345" t="str">
        <f>Cover!A31</f>
        <v>Food_Lab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19" t="s">
        <v>21</v>
      </c>
      <c r="O1" s="311">
        <v>44555</v>
      </c>
      <c r="P1" s="312"/>
    </row>
    <row r="2" spans="1:16" ht="34" customHeight="1" thickBot="1" x14ac:dyDescent="0.25">
      <c r="A2" s="343"/>
      <c r="B2" s="344"/>
      <c r="C2" s="347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20" t="s">
        <v>20</v>
      </c>
      <c r="O2" s="313">
        <f ca="1">NOW()</f>
        <v>44662.727361805555</v>
      </c>
      <c r="P2" s="314"/>
    </row>
    <row r="3" spans="1:16" ht="17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ht="25" thickBot="1" x14ac:dyDescent="0.35">
      <c r="A4" s="9"/>
      <c r="B4" s="32" t="s">
        <v>38</v>
      </c>
      <c r="C4" s="3"/>
      <c r="D4" s="248" t="s">
        <v>88</v>
      </c>
      <c r="E4" s="230"/>
      <c r="F4" s="33"/>
      <c r="G4" s="33"/>
      <c r="H4" s="34"/>
      <c r="I4" s="3"/>
      <c r="J4" s="3"/>
      <c r="K4" s="3"/>
      <c r="L4" s="3"/>
      <c r="M4" s="3"/>
      <c r="N4" s="3"/>
      <c r="O4" s="3"/>
      <c r="P4" s="10"/>
    </row>
    <row r="5" spans="1:16" ht="24" x14ac:dyDescent="0.3">
      <c r="A5" s="9"/>
      <c r="B5" s="32"/>
      <c r="C5" s="3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10"/>
    </row>
    <row r="6" spans="1:16" ht="24" x14ac:dyDescent="0.3">
      <c r="A6" s="216"/>
      <c r="B6" s="217" t="s">
        <v>194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</row>
    <row r="7" spans="1:16" ht="25" thickBot="1" x14ac:dyDescent="0.35">
      <c r="A7" s="216"/>
      <c r="B7" s="218"/>
      <c r="C7" s="109"/>
      <c r="D7" s="219"/>
      <c r="E7" s="219"/>
      <c r="F7" s="109"/>
      <c r="G7" s="109"/>
      <c r="H7" s="109"/>
      <c r="I7" s="109"/>
      <c r="J7" s="109"/>
      <c r="K7" s="109"/>
      <c r="L7" s="109"/>
      <c r="M7" s="109"/>
      <c r="N7" s="109"/>
      <c r="O7" s="219"/>
      <c r="P7" s="110"/>
    </row>
    <row r="8" spans="1:16" ht="24" x14ac:dyDescent="0.3">
      <c r="A8" s="216"/>
      <c r="B8" s="220" t="s">
        <v>0</v>
      </c>
      <c r="C8" s="221" t="s">
        <v>29</v>
      </c>
      <c r="D8" s="436" t="s">
        <v>30</v>
      </c>
      <c r="E8" s="437"/>
      <c r="F8" s="221" t="s">
        <v>31</v>
      </c>
      <c r="G8" s="221" t="s">
        <v>32</v>
      </c>
      <c r="H8" s="221" t="s">
        <v>33</v>
      </c>
      <c r="I8" s="221" t="s">
        <v>34</v>
      </c>
      <c r="J8" s="221" t="s">
        <v>35</v>
      </c>
      <c r="K8" s="221" t="s">
        <v>36</v>
      </c>
      <c r="L8" s="438" t="s">
        <v>37</v>
      </c>
      <c r="M8" s="438"/>
      <c r="N8" s="438"/>
      <c r="O8" s="439"/>
      <c r="P8" s="110"/>
    </row>
    <row r="9" spans="1:16" ht="24" x14ac:dyDescent="0.3">
      <c r="A9" s="216"/>
      <c r="B9" s="222">
        <v>1</v>
      </c>
      <c r="C9" s="223" t="s">
        <v>195</v>
      </c>
      <c r="D9" s="428" t="s">
        <v>197</v>
      </c>
      <c r="E9" s="429"/>
      <c r="F9" s="224" t="s">
        <v>191</v>
      </c>
      <c r="G9" s="224" t="s">
        <v>191</v>
      </c>
      <c r="H9" s="224" t="s">
        <v>191</v>
      </c>
      <c r="I9" s="225" t="s">
        <v>203</v>
      </c>
      <c r="J9" s="224"/>
      <c r="K9" s="224"/>
      <c r="L9" s="430"/>
      <c r="M9" s="430"/>
      <c r="N9" s="430"/>
      <c r="O9" s="431"/>
      <c r="P9" s="110"/>
    </row>
    <row r="10" spans="1:16" ht="24" x14ac:dyDescent="0.3">
      <c r="A10" s="216"/>
      <c r="B10" s="222">
        <v>2</v>
      </c>
      <c r="C10" s="223" t="s">
        <v>196</v>
      </c>
      <c r="D10" s="428" t="s">
        <v>198</v>
      </c>
      <c r="E10" s="429"/>
      <c r="F10" s="224"/>
      <c r="G10" s="224"/>
      <c r="H10" s="224" t="s">
        <v>191</v>
      </c>
      <c r="I10" s="225" t="s">
        <v>188</v>
      </c>
      <c r="J10" s="224"/>
      <c r="K10" s="224"/>
      <c r="L10" s="430" t="s">
        <v>189</v>
      </c>
      <c r="M10" s="430"/>
      <c r="N10" s="430"/>
      <c r="O10" s="431"/>
      <c r="P10" s="110"/>
    </row>
    <row r="11" spans="1:16" ht="24" x14ac:dyDescent="0.3">
      <c r="A11" s="216"/>
      <c r="B11" s="222">
        <v>3</v>
      </c>
      <c r="C11" s="223" t="s">
        <v>199</v>
      </c>
      <c r="D11" s="428" t="s">
        <v>201</v>
      </c>
      <c r="E11" s="429"/>
      <c r="F11" s="224"/>
      <c r="G11" s="224"/>
      <c r="H11" s="224" t="s">
        <v>191</v>
      </c>
      <c r="I11" s="225" t="s">
        <v>192</v>
      </c>
      <c r="J11" s="224"/>
      <c r="K11" s="224"/>
      <c r="L11" s="430"/>
      <c r="M11" s="430"/>
      <c r="N11" s="430"/>
      <c r="O11" s="431"/>
      <c r="P11" s="110"/>
    </row>
    <row r="12" spans="1:16" ht="25" thickBot="1" x14ac:dyDescent="0.35">
      <c r="A12" s="216"/>
      <c r="B12" s="226">
        <v>4</v>
      </c>
      <c r="C12" s="227" t="s">
        <v>200</v>
      </c>
      <c r="D12" s="432" t="s">
        <v>202</v>
      </c>
      <c r="E12" s="433"/>
      <c r="F12" s="228"/>
      <c r="G12" s="228"/>
      <c r="H12" s="228"/>
      <c r="I12" s="229" t="s">
        <v>192</v>
      </c>
      <c r="J12" s="228"/>
      <c r="K12" s="228"/>
      <c r="L12" s="434"/>
      <c r="M12" s="434"/>
      <c r="N12" s="434"/>
      <c r="O12" s="435"/>
      <c r="P12" s="110"/>
    </row>
    <row r="13" spans="1:16" ht="24" x14ac:dyDescent="0.3">
      <c r="A13" s="216"/>
      <c r="B13" s="218"/>
      <c r="C13" s="109"/>
      <c r="D13" s="219"/>
      <c r="E13" s="219"/>
      <c r="F13" s="109"/>
      <c r="G13" s="109"/>
      <c r="H13" s="109"/>
      <c r="I13" s="109"/>
      <c r="J13" s="109"/>
      <c r="K13" s="109"/>
      <c r="L13" s="109"/>
      <c r="M13" s="109"/>
      <c r="N13" s="109"/>
      <c r="O13" s="219"/>
      <c r="P13" s="110"/>
    </row>
    <row r="14" spans="1:16" ht="25" thickBot="1" x14ac:dyDescent="0.35">
      <c r="A14" s="9"/>
      <c r="B14" s="32"/>
      <c r="C14" s="3"/>
      <c r="D14" s="44"/>
      <c r="E14" s="44"/>
      <c r="F14" s="3"/>
      <c r="G14" s="3"/>
      <c r="H14" s="3"/>
      <c r="I14" s="3"/>
      <c r="J14" s="3"/>
      <c r="K14" s="3"/>
      <c r="L14" s="3"/>
      <c r="M14" s="3"/>
      <c r="N14" s="3"/>
      <c r="O14" s="44"/>
      <c r="P14" s="10"/>
    </row>
    <row r="15" spans="1:16" ht="25" thickBot="1" x14ac:dyDescent="0.35">
      <c r="A15" s="9"/>
      <c r="B15" s="32" t="s">
        <v>39</v>
      </c>
      <c r="C15" s="3"/>
      <c r="D15" s="231" t="s">
        <v>204</v>
      </c>
      <c r="E15" s="33"/>
      <c r="F15" s="33"/>
      <c r="G15" s="33"/>
      <c r="H15" s="34"/>
      <c r="I15" s="3"/>
      <c r="J15" s="3"/>
      <c r="K15" s="3"/>
      <c r="L15" s="3"/>
      <c r="M15" s="3"/>
      <c r="N15" s="3"/>
      <c r="O15" s="44"/>
      <c r="P15" s="10"/>
    </row>
    <row r="16" spans="1:16" ht="17" thickBot="1" x14ac:dyDescent="0.25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"/>
    </row>
    <row r="17" spans="1:16" s="2" customFormat="1" ht="24" x14ac:dyDescent="0.3">
      <c r="A17" s="35"/>
      <c r="B17" s="24" t="s">
        <v>0</v>
      </c>
      <c r="C17" s="25" t="s">
        <v>29</v>
      </c>
      <c r="D17" s="391" t="s">
        <v>30</v>
      </c>
      <c r="E17" s="392"/>
      <c r="F17" s="25" t="s">
        <v>31</v>
      </c>
      <c r="G17" s="25" t="s">
        <v>32</v>
      </c>
      <c r="H17" s="25" t="s">
        <v>33</v>
      </c>
      <c r="I17" s="25" t="s">
        <v>34</v>
      </c>
      <c r="J17" s="25" t="s">
        <v>35</v>
      </c>
      <c r="K17" s="25" t="s">
        <v>36</v>
      </c>
      <c r="L17" s="393" t="s">
        <v>37</v>
      </c>
      <c r="M17" s="393"/>
      <c r="N17" s="393"/>
      <c r="O17" s="394"/>
      <c r="P17" s="22"/>
    </row>
    <row r="18" spans="1:16" ht="24" x14ac:dyDescent="0.3">
      <c r="A18" s="9"/>
      <c r="B18" s="26">
        <v>1</v>
      </c>
      <c r="C18" s="27" t="s">
        <v>180</v>
      </c>
      <c r="D18" s="385" t="s">
        <v>121</v>
      </c>
      <c r="E18" s="386"/>
      <c r="F18" s="214"/>
      <c r="G18" s="214"/>
      <c r="H18" s="214" t="s">
        <v>191</v>
      </c>
      <c r="I18" s="28" t="s">
        <v>190</v>
      </c>
      <c r="J18" s="214">
        <v>128</v>
      </c>
      <c r="K18" s="214"/>
      <c r="L18" s="376"/>
      <c r="M18" s="376"/>
      <c r="N18" s="376"/>
      <c r="O18" s="377"/>
      <c r="P18" s="10"/>
    </row>
    <row r="19" spans="1:16" ht="24" x14ac:dyDescent="0.3">
      <c r="A19" s="9"/>
      <c r="B19" s="26">
        <v>2</v>
      </c>
      <c r="C19" s="27" t="s">
        <v>181</v>
      </c>
      <c r="D19" s="385" t="s">
        <v>185</v>
      </c>
      <c r="E19" s="386"/>
      <c r="F19" s="214"/>
      <c r="G19" s="214"/>
      <c r="H19" s="214" t="s">
        <v>191</v>
      </c>
      <c r="I19" s="28" t="s">
        <v>190</v>
      </c>
      <c r="J19" s="214">
        <v>128</v>
      </c>
      <c r="K19" s="214"/>
      <c r="L19" s="376"/>
      <c r="M19" s="376"/>
      <c r="N19" s="376"/>
      <c r="O19" s="377"/>
      <c r="P19" s="10"/>
    </row>
    <row r="20" spans="1:16" ht="59" customHeight="1" x14ac:dyDescent="0.2">
      <c r="A20" s="9"/>
      <c r="B20" s="234">
        <v>3</v>
      </c>
      <c r="C20" s="28" t="s">
        <v>182</v>
      </c>
      <c r="D20" s="395" t="s">
        <v>186</v>
      </c>
      <c r="E20" s="396"/>
      <c r="F20" s="214"/>
      <c r="G20" s="214"/>
      <c r="H20" s="214" t="s">
        <v>191</v>
      </c>
      <c r="I20" s="28" t="s">
        <v>190</v>
      </c>
      <c r="J20" s="214">
        <v>2</v>
      </c>
      <c r="K20" s="214"/>
      <c r="L20" s="390" t="s">
        <v>205</v>
      </c>
      <c r="M20" s="376"/>
      <c r="N20" s="376"/>
      <c r="O20" s="377"/>
      <c r="P20" s="10"/>
    </row>
    <row r="21" spans="1:16" ht="24" x14ac:dyDescent="0.3">
      <c r="A21" s="9"/>
      <c r="B21" s="26">
        <v>4</v>
      </c>
      <c r="C21" s="27" t="s">
        <v>183</v>
      </c>
      <c r="D21" s="385" t="s">
        <v>187</v>
      </c>
      <c r="E21" s="386"/>
      <c r="F21" s="214"/>
      <c r="G21" s="214"/>
      <c r="H21" s="214" t="s">
        <v>191</v>
      </c>
      <c r="I21" s="28" t="s">
        <v>188</v>
      </c>
      <c r="J21" s="214"/>
      <c r="K21" s="214"/>
      <c r="L21" s="376" t="s">
        <v>189</v>
      </c>
      <c r="M21" s="376"/>
      <c r="N21" s="376"/>
      <c r="O21" s="377"/>
      <c r="P21" s="10"/>
    </row>
    <row r="22" spans="1:16" ht="24" x14ac:dyDescent="0.3">
      <c r="A22" s="9"/>
      <c r="B22" s="26">
        <v>5</v>
      </c>
      <c r="C22" s="27" t="s">
        <v>184</v>
      </c>
      <c r="D22" s="385" t="s">
        <v>193</v>
      </c>
      <c r="E22" s="386"/>
      <c r="F22" s="214"/>
      <c r="G22" s="214"/>
      <c r="H22" s="214"/>
      <c r="I22" s="28" t="s">
        <v>192</v>
      </c>
      <c r="J22" s="214"/>
      <c r="K22" s="214"/>
      <c r="L22" s="376"/>
      <c r="M22" s="376"/>
      <c r="N22" s="376"/>
      <c r="O22" s="377"/>
      <c r="P22" s="10"/>
    </row>
    <row r="23" spans="1:16" ht="25" thickBot="1" x14ac:dyDescent="0.35">
      <c r="A23" s="9"/>
      <c r="B23" s="29"/>
      <c r="C23" s="30"/>
      <c r="D23" s="381"/>
      <c r="E23" s="382"/>
      <c r="F23" s="215"/>
      <c r="G23" s="215"/>
      <c r="H23" s="215"/>
      <c r="I23" s="31"/>
      <c r="J23" s="215"/>
      <c r="K23" s="215"/>
      <c r="L23" s="383"/>
      <c r="M23" s="383"/>
      <c r="N23" s="383"/>
      <c r="O23" s="384"/>
      <c r="P23" s="10"/>
    </row>
    <row r="24" spans="1:16" x14ac:dyDescent="0.2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"/>
    </row>
    <row r="25" spans="1:16" x14ac:dyDescent="0.2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</row>
    <row r="26" spans="1:16" ht="17" thickBot="1" x14ac:dyDescent="0.25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0"/>
    </row>
    <row r="27" spans="1:16" ht="25" thickBot="1" x14ac:dyDescent="0.35">
      <c r="A27" s="9"/>
      <c r="B27" s="32" t="s">
        <v>39</v>
      </c>
      <c r="C27" s="3"/>
      <c r="D27" s="231" t="s">
        <v>273</v>
      </c>
      <c r="E27" s="33"/>
      <c r="F27" s="33"/>
      <c r="G27" s="33"/>
      <c r="H27" s="34"/>
      <c r="I27" s="3"/>
      <c r="J27" s="3"/>
      <c r="K27" s="3"/>
      <c r="L27" s="3"/>
      <c r="M27" s="3"/>
      <c r="N27" s="3"/>
      <c r="O27" s="44"/>
      <c r="P27" s="10"/>
    </row>
    <row r="28" spans="1:16" ht="17" thickBot="1" x14ac:dyDescent="0.25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0"/>
    </row>
    <row r="29" spans="1:16" ht="24" x14ac:dyDescent="0.3">
      <c r="A29" s="9"/>
      <c r="B29" s="24" t="s">
        <v>0</v>
      </c>
      <c r="C29" s="25" t="s">
        <v>29</v>
      </c>
      <c r="D29" s="391" t="s">
        <v>30</v>
      </c>
      <c r="E29" s="392"/>
      <c r="F29" s="25" t="s">
        <v>31</v>
      </c>
      <c r="G29" s="25" t="s">
        <v>32</v>
      </c>
      <c r="H29" s="25" t="s">
        <v>33</v>
      </c>
      <c r="I29" s="25" t="s">
        <v>34</v>
      </c>
      <c r="J29" s="25" t="s">
        <v>35</v>
      </c>
      <c r="K29" s="25" t="s">
        <v>36</v>
      </c>
      <c r="L29" s="393" t="s">
        <v>37</v>
      </c>
      <c r="M29" s="393"/>
      <c r="N29" s="393"/>
      <c r="O29" s="394"/>
      <c r="P29" s="10"/>
    </row>
    <row r="30" spans="1:16" ht="24" x14ac:dyDescent="0.3">
      <c r="A30" s="9"/>
      <c r="B30" s="26">
        <v>1</v>
      </c>
      <c r="C30" s="27" t="s">
        <v>206</v>
      </c>
      <c r="D30" s="385" t="s">
        <v>208</v>
      </c>
      <c r="E30" s="386"/>
      <c r="F30" s="214"/>
      <c r="G30" s="214"/>
      <c r="H30" s="214" t="s">
        <v>191</v>
      </c>
      <c r="I30" s="28" t="s">
        <v>188</v>
      </c>
      <c r="J30" s="214"/>
      <c r="K30" s="214"/>
      <c r="L30" s="376" t="s">
        <v>210</v>
      </c>
      <c r="M30" s="376"/>
      <c r="N30" s="376"/>
      <c r="O30" s="377"/>
      <c r="P30" s="10"/>
    </row>
    <row r="31" spans="1:16" ht="24" x14ac:dyDescent="0.3">
      <c r="A31" s="9"/>
      <c r="B31" s="26">
        <v>2</v>
      </c>
      <c r="C31" s="27" t="s">
        <v>207</v>
      </c>
      <c r="D31" s="385" t="s">
        <v>209</v>
      </c>
      <c r="E31" s="386"/>
      <c r="F31" s="214"/>
      <c r="G31" s="214"/>
      <c r="H31" s="214" t="s">
        <v>191</v>
      </c>
      <c r="I31" s="28" t="s">
        <v>188</v>
      </c>
      <c r="J31" s="214"/>
      <c r="K31" s="214"/>
      <c r="L31" s="376"/>
      <c r="M31" s="376"/>
      <c r="N31" s="376"/>
      <c r="O31" s="377"/>
      <c r="P31" s="10"/>
    </row>
    <row r="32" spans="1:16" ht="24" x14ac:dyDescent="0.3">
      <c r="A32" s="9"/>
      <c r="B32" s="26"/>
      <c r="C32" s="27"/>
      <c r="D32" s="440"/>
      <c r="E32" s="441"/>
      <c r="F32" s="214"/>
      <c r="G32" s="214"/>
      <c r="H32" s="214"/>
      <c r="I32" s="28"/>
      <c r="J32" s="214"/>
      <c r="K32" s="214"/>
      <c r="L32" s="376"/>
      <c r="M32" s="376"/>
      <c r="N32" s="376"/>
      <c r="O32" s="377"/>
      <c r="P32" s="10"/>
    </row>
    <row r="33" spans="1:16" ht="24" x14ac:dyDescent="0.3">
      <c r="A33" s="9"/>
      <c r="B33" s="26"/>
      <c r="C33" s="27"/>
      <c r="D33" s="440"/>
      <c r="E33" s="441"/>
      <c r="F33" s="214"/>
      <c r="G33" s="214"/>
      <c r="H33" s="214"/>
      <c r="I33" s="28"/>
      <c r="J33" s="214"/>
      <c r="K33" s="214"/>
      <c r="L33" s="376"/>
      <c r="M33" s="376"/>
      <c r="N33" s="376"/>
      <c r="O33" s="377"/>
      <c r="P33" s="10"/>
    </row>
    <row r="34" spans="1:16" ht="24" x14ac:dyDescent="0.3">
      <c r="A34" s="9"/>
      <c r="B34" s="26"/>
      <c r="C34" s="27"/>
      <c r="D34" s="440"/>
      <c r="E34" s="441"/>
      <c r="F34" s="214"/>
      <c r="G34" s="214"/>
      <c r="H34" s="214"/>
      <c r="I34" s="28"/>
      <c r="J34" s="214"/>
      <c r="K34" s="214"/>
      <c r="L34" s="376"/>
      <c r="M34" s="376"/>
      <c r="N34" s="376"/>
      <c r="O34" s="377"/>
      <c r="P34" s="10"/>
    </row>
    <row r="35" spans="1:16" ht="25" thickBot="1" x14ac:dyDescent="0.35">
      <c r="A35" s="9"/>
      <c r="B35" s="29"/>
      <c r="C35" s="30"/>
      <c r="D35" s="381"/>
      <c r="E35" s="382"/>
      <c r="F35" s="215"/>
      <c r="G35" s="215"/>
      <c r="H35" s="215"/>
      <c r="I35" s="31"/>
      <c r="J35" s="215"/>
      <c r="K35" s="215"/>
      <c r="L35" s="383"/>
      <c r="M35" s="383"/>
      <c r="N35" s="383"/>
      <c r="O35" s="384"/>
      <c r="P35" s="10"/>
    </row>
    <row r="36" spans="1:16" x14ac:dyDescent="0.2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10"/>
    </row>
    <row r="37" spans="1:16" ht="17" thickBot="1" x14ac:dyDescent="0.25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10"/>
    </row>
    <row r="38" spans="1:16" ht="25" thickBot="1" x14ac:dyDescent="0.35">
      <c r="A38" s="9"/>
      <c r="B38" s="32" t="s">
        <v>39</v>
      </c>
      <c r="C38" s="3"/>
      <c r="D38" s="231" t="s">
        <v>274</v>
      </c>
      <c r="E38" s="33"/>
      <c r="F38" s="33"/>
      <c r="G38" s="33"/>
      <c r="H38" s="34"/>
      <c r="I38" s="3"/>
      <c r="J38" s="3"/>
      <c r="K38" s="3"/>
      <c r="L38" s="3"/>
      <c r="M38" s="3"/>
      <c r="N38" s="3"/>
      <c r="O38" s="44"/>
      <c r="P38" s="10"/>
    </row>
    <row r="39" spans="1:16" ht="17" thickBot="1" x14ac:dyDescent="0.25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10"/>
    </row>
    <row r="40" spans="1:16" ht="24" x14ac:dyDescent="0.3">
      <c r="A40" s="9"/>
      <c r="B40" s="24" t="s">
        <v>0</v>
      </c>
      <c r="C40" s="25" t="s">
        <v>29</v>
      </c>
      <c r="D40" s="391" t="s">
        <v>30</v>
      </c>
      <c r="E40" s="392"/>
      <c r="F40" s="25" t="s">
        <v>31</v>
      </c>
      <c r="G40" s="25" t="s">
        <v>32</v>
      </c>
      <c r="H40" s="25" t="s">
        <v>33</v>
      </c>
      <c r="I40" s="25" t="s">
        <v>34</v>
      </c>
      <c r="J40" s="25" t="s">
        <v>35</v>
      </c>
      <c r="K40" s="25" t="s">
        <v>36</v>
      </c>
      <c r="L40" s="393" t="s">
        <v>37</v>
      </c>
      <c r="M40" s="393"/>
      <c r="N40" s="393"/>
      <c r="O40" s="394"/>
      <c r="P40" s="10"/>
    </row>
    <row r="41" spans="1:16" ht="24" x14ac:dyDescent="0.3">
      <c r="A41" s="9"/>
      <c r="B41" s="256">
        <v>1</v>
      </c>
      <c r="C41" s="257" t="s">
        <v>211</v>
      </c>
      <c r="D41" s="426" t="s">
        <v>221</v>
      </c>
      <c r="E41" s="427"/>
      <c r="F41" s="258"/>
      <c r="G41" s="258"/>
      <c r="H41" s="258" t="s">
        <v>191</v>
      </c>
      <c r="I41" s="259" t="s">
        <v>188</v>
      </c>
      <c r="J41" s="258"/>
      <c r="K41" s="258"/>
      <c r="L41" s="424" t="s">
        <v>210</v>
      </c>
      <c r="M41" s="424"/>
      <c r="N41" s="424"/>
      <c r="O41" s="425"/>
      <c r="P41" s="10"/>
    </row>
    <row r="42" spans="1:16" ht="24" x14ac:dyDescent="0.3">
      <c r="A42" s="9"/>
      <c r="B42" s="256">
        <v>2</v>
      </c>
      <c r="C42" s="257" t="s">
        <v>212</v>
      </c>
      <c r="D42" s="426" t="s">
        <v>222</v>
      </c>
      <c r="E42" s="427"/>
      <c r="F42" s="258"/>
      <c r="G42" s="258"/>
      <c r="H42" s="258" t="s">
        <v>191</v>
      </c>
      <c r="I42" s="259" t="s">
        <v>188</v>
      </c>
      <c r="J42" s="258"/>
      <c r="K42" s="258"/>
      <c r="L42" s="424"/>
      <c r="M42" s="424"/>
      <c r="N42" s="424"/>
      <c r="O42" s="425"/>
      <c r="P42" s="10"/>
    </row>
    <row r="43" spans="1:16" ht="24" x14ac:dyDescent="0.3">
      <c r="A43" s="9"/>
      <c r="B43" s="26">
        <v>3</v>
      </c>
      <c r="C43" s="27" t="s">
        <v>213</v>
      </c>
      <c r="D43" s="385" t="s">
        <v>223</v>
      </c>
      <c r="E43" s="386"/>
      <c r="F43" s="214"/>
      <c r="G43" s="214"/>
      <c r="H43" s="214" t="s">
        <v>191</v>
      </c>
      <c r="I43" s="28" t="s">
        <v>188</v>
      </c>
      <c r="J43" s="214"/>
      <c r="K43" s="214"/>
      <c r="L43" s="376"/>
      <c r="M43" s="376"/>
      <c r="N43" s="376"/>
      <c r="O43" s="377"/>
      <c r="P43" s="10"/>
    </row>
    <row r="44" spans="1:16" ht="24" x14ac:dyDescent="0.3">
      <c r="A44" s="9"/>
      <c r="B44" s="26">
        <v>4</v>
      </c>
      <c r="C44" s="27" t="s">
        <v>214</v>
      </c>
      <c r="D44" s="385" t="s">
        <v>224</v>
      </c>
      <c r="E44" s="386"/>
      <c r="F44" s="214"/>
      <c r="G44" s="214"/>
      <c r="H44" s="214" t="s">
        <v>191</v>
      </c>
      <c r="I44" s="28" t="s">
        <v>188</v>
      </c>
      <c r="J44" s="214"/>
      <c r="K44" s="214"/>
      <c r="L44" s="376"/>
      <c r="M44" s="376"/>
      <c r="N44" s="376"/>
      <c r="O44" s="377"/>
      <c r="P44" s="10"/>
    </row>
    <row r="45" spans="1:16" ht="24" x14ac:dyDescent="0.3">
      <c r="A45" s="9"/>
      <c r="B45" s="26">
        <v>5</v>
      </c>
      <c r="C45" s="27" t="s">
        <v>215</v>
      </c>
      <c r="D45" s="385" t="s">
        <v>225</v>
      </c>
      <c r="E45" s="386"/>
      <c r="F45" s="214"/>
      <c r="G45" s="214"/>
      <c r="H45" s="214" t="s">
        <v>191</v>
      </c>
      <c r="I45" s="28" t="s">
        <v>203</v>
      </c>
      <c r="J45" s="214"/>
      <c r="K45" s="254" t="s">
        <v>191</v>
      </c>
      <c r="L45" s="376" t="s">
        <v>268</v>
      </c>
      <c r="M45" s="376"/>
      <c r="N45" s="376"/>
      <c r="O45" s="377"/>
      <c r="P45" s="10"/>
    </row>
    <row r="46" spans="1:16" ht="24" x14ac:dyDescent="0.3">
      <c r="A46" s="9"/>
      <c r="B46" s="235">
        <v>6</v>
      </c>
      <c r="C46" s="236" t="s">
        <v>232</v>
      </c>
      <c r="D46" s="239" t="s">
        <v>233</v>
      </c>
      <c r="E46" s="240"/>
      <c r="F46" s="237"/>
      <c r="G46" s="237"/>
      <c r="H46" s="214" t="s">
        <v>191</v>
      </c>
      <c r="I46" s="238" t="s">
        <v>190</v>
      </c>
      <c r="J46" s="237"/>
      <c r="K46" s="237"/>
      <c r="L46" s="376"/>
      <c r="M46" s="376"/>
      <c r="N46" s="376"/>
      <c r="O46" s="377"/>
      <c r="P46" s="10"/>
    </row>
    <row r="47" spans="1:16" ht="25" thickBot="1" x14ac:dyDescent="0.35">
      <c r="A47" s="9"/>
      <c r="B47" s="29"/>
      <c r="C47" s="30"/>
      <c r="D47" s="381"/>
      <c r="E47" s="382"/>
      <c r="F47" s="215"/>
      <c r="G47" s="215"/>
      <c r="H47" s="215"/>
      <c r="I47" s="31"/>
      <c r="J47" s="215"/>
      <c r="K47" s="215"/>
      <c r="L47" s="383"/>
      <c r="M47" s="383"/>
      <c r="N47" s="383"/>
      <c r="O47" s="384"/>
      <c r="P47" s="10"/>
    </row>
    <row r="48" spans="1:16" x14ac:dyDescent="0.2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0"/>
    </row>
    <row r="49" spans="1:16" ht="17" thickBot="1" x14ac:dyDescent="0.25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0"/>
    </row>
    <row r="50" spans="1:16" ht="25" thickBot="1" x14ac:dyDescent="0.35">
      <c r="A50" s="9"/>
      <c r="B50" s="32" t="s">
        <v>39</v>
      </c>
      <c r="C50" s="3"/>
      <c r="D50" s="231" t="s">
        <v>216</v>
      </c>
      <c r="E50" s="33"/>
      <c r="F50" s="33"/>
      <c r="G50" s="33"/>
      <c r="H50" s="34"/>
      <c r="I50" s="3"/>
      <c r="J50" s="3"/>
      <c r="K50" s="3"/>
      <c r="L50" s="3"/>
      <c r="M50" s="3"/>
      <c r="N50" s="3"/>
      <c r="O50" s="44"/>
      <c r="P50" s="10"/>
    </row>
    <row r="51" spans="1:16" ht="17" thickBot="1" x14ac:dyDescent="0.25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0"/>
    </row>
    <row r="52" spans="1:16" ht="24" x14ac:dyDescent="0.3">
      <c r="A52" s="9"/>
      <c r="B52" s="24" t="s">
        <v>0</v>
      </c>
      <c r="C52" s="25" t="s">
        <v>29</v>
      </c>
      <c r="D52" s="391" t="s">
        <v>30</v>
      </c>
      <c r="E52" s="392"/>
      <c r="F52" s="25" t="s">
        <v>31</v>
      </c>
      <c r="G52" s="25" t="s">
        <v>32</v>
      </c>
      <c r="H52" s="25" t="s">
        <v>33</v>
      </c>
      <c r="I52" s="25" t="s">
        <v>34</v>
      </c>
      <c r="J52" s="25" t="s">
        <v>35</v>
      </c>
      <c r="K52" s="25" t="s">
        <v>36</v>
      </c>
      <c r="L52" s="393" t="s">
        <v>37</v>
      </c>
      <c r="M52" s="393"/>
      <c r="N52" s="393"/>
      <c r="O52" s="394"/>
      <c r="P52" s="10"/>
    </row>
    <row r="53" spans="1:16" ht="24" x14ac:dyDescent="0.3">
      <c r="A53" s="9"/>
      <c r="B53" s="26">
        <v>1</v>
      </c>
      <c r="C53" s="27" t="s">
        <v>217</v>
      </c>
      <c r="D53" s="385" t="s">
        <v>218</v>
      </c>
      <c r="E53" s="386"/>
      <c r="F53" s="214"/>
      <c r="G53" s="214"/>
      <c r="H53" s="214" t="s">
        <v>191</v>
      </c>
      <c r="I53" s="28" t="s">
        <v>203</v>
      </c>
      <c r="J53" s="214"/>
      <c r="K53" s="254" t="s">
        <v>191</v>
      </c>
      <c r="L53" s="376" t="s">
        <v>327</v>
      </c>
      <c r="M53" s="376"/>
      <c r="N53" s="376"/>
      <c r="O53" s="377"/>
      <c r="P53" s="10"/>
    </row>
    <row r="54" spans="1:16" ht="24" x14ac:dyDescent="0.3">
      <c r="A54" s="9"/>
      <c r="B54" s="26">
        <v>2</v>
      </c>
      <c r="C54" s="27" t="s">
        <v>242</v>
      </c>
      <c r="D54" s="249" t="s">
        <v>243</v>
      </c>
      <c r="E54" s="250"/>
      <c r="F54" s="214"/>
      <c r="G54" s="214"/>
      <c r="H54" s="214" t="s">
        <v>191</v>
      </c>
      <c r="I54" s="28" t="s">
        <v>188</v>
      </c>
      <c r="J54" s="214"/>
      <c r="K54" s="214"/>
      <c r="L54" s="378" t="s">
        <v>244</v>
      </c>
      <c r="M54" s="379"/>
      <c r="N54" s="379"/>
      <c r="O54" s="380"/>
      <c r="P54" s="10"/>
    </row>
    <row r="55" spans="1:16" ht="24" x14ac:dyDescent="0.3">
      <c r="A55" s="9"/>
      <c r="B55" s="26">
        <v>3</v>
      </c>
      <c r="C55" s="27" t="s">
        <v>239</v>
      </c>
      <c r="D55" s="249" t="s">
        <v>240</v>
      </c>
      <c r="E55" s="250"/>
      <c r="F55" s="214"/>
      <c r="G55" s="214"/>
      <c r="H55" s="214" t="s">
        <v>191</v>
      </c>
      <c r="I55" s="28" t="s">
        <v>188</v>
      </c>
      <c r="J55" s="214"/>
      <c r="K55" s="214"/>
      <c r="L55" s="399" t="s">
        <v>291</v>
      </c>
      <c r="M55" s="400"/>
      <c r="N55" s="400"/>
      <c r="O55" s="401"/>
      <c r="P55" s="10"/>
    </row>
    <row r="56" spans="1:16" ht="24" x14ac:dyDescent="0.3">
      <c r="A56" s="9"/>
      <c r="B56" s="26">
        <v>4</v>
      </c>
      <c r="C56" s="27" t="s">
        <v>237</v>
      </c>
      <c r="D56" s="249" t="s">
        <v>230</v>
      </c>
      <c r="E56" s="250"/>
      <c r="F56" s="214"/>
      <c r="G56" s="214"/>
      <c r="H56" s="214"/>
      <c r="I56" s="28" t="s">
        <v>188</v>
      </c>
      <c r="J56" s="214"/>
      <c r="K56" s="214"/>
      <c r="L56" s="418" t="s">
        <v>241</v>
      </c>
      <c r="M56" s="419"/>
      <c r="N56" s="419"/>
      <c r="O56" s="420"/>
      <c r="P56" s="10"/>
    </row>
    <row r="57" spans="1:16" ht="24" x14ac:dyDescent="0.3">
      <c r="A57" s="9"/>
      <c r="B57" s="26">
        <v>5</v>
      </c>
      <c r="C57" s="27" t="s">
        <v>238</v>
      </c>
      <c r="D57" s="249" t="s">
        <v>231</v>
      </c>
      <c r="E57" s="250"/>
      <c r="F57" s="214"/>
      <c r="G57" s="214"/>
      <c r="H57" s="214"/>
      <c r="I57" s="28" t="s">
        <v>188</v>
      </c>
      <c r="J57" s="214"/>
      <c r="K57" s="214"/>
      <c r="L57" s="421"/>
      <c r="M57" s="422"/>
      <c r="N57" s="422"/>
      <c r="O57" s="423"/>
      <c r="P57" s="10"/>
    </row>
    <row r="58" spans="1:16" ht="65" customHeight="1" x14ac:dyDescent="0.2">
      <c r="A58" s="9"/>
      <c r="B58" s="232">
        <v>6</v>
      </c>
      <c r="C58" s="28" t="s">
        <v>219</v>
      </c>
      <c r="D58" s="395" t="s">
        <v>226</v>
      </c>
      <c r="E58" s="396"/>
      <c r="F58" s="214"/>
      <c r="G58" s="214"/>
      <c r="H58" s="214" t="s">
        <v>191</v>
      </c>
      <c r="I58" s="28" t="s">
        <v>188</v>
      </c>
      <c r="J58" s="214"/>
      <c r="K58" s="214"/>
      <c r="L58" s="390" t="s">
        <v>407</v>
      </c>
      <c r="M58" s="376"/>
      <c r="N58" s="376"/>
      <c r="O58" s="377"/>
      <c r="P58" s="10"/>
    </row>
    <row r="59" spans="1:16" s="268" customFormat="1" ht="24" x14ac:dyDescent="0.3">
      <c r="A59" s="260"/>
      <c r="B59" s="261">
        <v>7</v>
      </c>
      <c r="C59" s="262" t="s">
        <v>435</v>
      </c>
      <c r="D59" s="374" t="s">
        <v>437</v>
      </c>
      <c r="E59" s="375"/>
      <c r="F59" s="265"/>
      <c r="G59" s="265"/>
      <c r="H59" s="265" t="s">
        <v>191</v>
      </c>
      <c r="I59" s="288" t="s">
        <v>439</v>
      </c>
      <c r="J59" s="265"/>
      <c r="K59" s="265"/>
      <c r="L59" s="368"/>
      <c r="M59" s="368"/>
      <c r="N59" s="368"/>
      <c r="O59" s="369"/>
      <c r="P59" s="267"/>
    </row>
    <row r="60" spans="1:16" s="268" customFormat="1" ht="24" x14ac:dyDescent="0.3">
      <c r="A60" s="260"/>
      <c r="B60" s="261">
        <v>8</v>
      </c>
      <c r="C60" s="262" t="s">
        <v>436</v>
      </c>
      <c r="D60" s="374" t="s">
        <v>438</v>
      </c>
      <c r="E60" s="375"/>
      <c r="F60" s="265"/>
      <c r="G60" s="265"/>
      <c r="H60" s="265" t="s">
        <v>191</v>
      </c>
      <c r="I60" s="288" t="s">
        <v>440</v>
      </c>
      <c r="J60" s="265"/>
      <c r="K60" s="265"/>
      <c r="L60" s="368"/>
      <c r="M60" s="368"/>
      <c r="N60" s="368"/>
      <c r="O60" s="369"/>
      <c r="P60" s="267"/>
    </row>
    <row r="61" spans="1:16" ht="24" x14ac:dyDescent="0.3">
      <c r="A61" s="9"/>
      <c r="B61" s="26">
        <v>9</v>
      </c>
      <c r="C61" s="27" t="s">
        <v>220</v>
      </c>
      <c r="D61" s="385" t="s">
        <v>227</v>
      </c>
      <c r="E61" s="386"/>
      <c r="F61" s="214"/>
      <c r="G61" s="214"/>
      <c r="H61" s="214" t="s">
        <v>191</v>
      </c>
      <c r="I61" s="28" t="s">
        <v>203</v>
      </c>
      <c r="J61" s="214"/>
      <c r="K61" s="254" t="s">
        <v>191</v>
      </c>
      <c r="L61" s="376" t="s">
        <v>268</v>
      </c>
      <c r="M61" s="376"/>
      <c r="N61" s="376"/>
      <c r="O61" s="377"/>
      <c r="P61" s="10"/>
    </row>
    <row r="62" spans="1:16" ht="25" thickBot="1" x14ac:dyDescent="0.35">
      <c r="A62" s="9"/>
      <c r="B62" s="29"/>
      <c r="C62" s="30"/>
      <c r="D62" s="381"/>
      <c r="E62" s="382"/>
      <c r="F62" s="215"/>
      <c r="G62" s="215"/>
      <c r="H62" s="215"/>
      <c r="I62" s="31"/>
      <c r="J62" s="215"/>
      <c r="K62" s="215"/>
      <c r="L62" s="383"/>
      <c r="M62" s="383"/>
      <c r="N62" s="383"/>
      <c r="O62" s="384"/>
      <c r="P62" s="10"/>
    </row>
    <row r="63" spans="1:16" x14ac:dyDescent="0.2">
      <c r="A63" s="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0"/>
    </row>
    <row r="64" spans="1:16" ht="17" thickBot="1" x14ac:dyDescent="0.25">
      <c r="A64" s="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0"/>
    </row>
    <row r="65" spans="1:16" ht="25" thickBot="1" x14ac:dyDescent="0.35">
      <c r="A65" s="9"/>
      <c r="B65" s="32" t="s">
        <v>39</v>
      </c>
      <c r="C65" s="3"/>
      <c r="D65" s="231" t="s">
        <v>234</v>
      </c>
      <c r="E65" s="33"/>
      <c r="F65" s="33"/>
      <c r="G65" s="33"/>
      <c r="H65" s="34"/>
      <c r="I65" s="3"/>
      <c r="J65" s="3"/>
      <c r="K65" s="3"/>
      <c r="L65" s="3"/>
      <c r="M65" s="3"/>
      <c r="N65" s="3"/>
      <c r="O65" s="44"/>
      <c r="P65" s="10"/>
    </row>
    <row r="66" spans="1:16" ht="17" thickBot="1" x14ac:dyDescent="0.25">
      <c r="A66" s="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0"/>
    </row>
    <row r="67" spans="1:16" ht="24" x14ac:dyDescent="0.3">
      <c r="A67" s="9"/>
      <c r="B67" s="24" t="s">
        <v>0</v>
      </c>
      <c r="C67" s="25" t="s">
        <v>29</v>
      </c>
      <c r="D67" s="391" t="s">
        <v>30</v>
      </c>
      <c r="E67" s="392"/>
      <c r="F67" s="25" t="s">
        <v>31</v>
      </c>
      <c r="G67" s="25" t="s">
        <v>32</v>
      </c>
      <c r="H67" s="25" t="s">
        <v>33</v>
      </c>
      <c r="I67" s="25" t="s">
        <v>34</v>
      </c>
      <c r="J67" s="25" t="s">
        <v>35</v>
      </c>
      <c r="K67" s="25" t="s">
        <v>36</v>
      </c>
      <c r="L67" s="393" t="s">
        <v>37</v>
      </c>
      <c r="M67" s="393"/>
      <c r="N67" s="393"/>
      <c r="O67" s="394"/>
      <c r="P67" s="10"/>
    </row>
    <row r="68" spans="1:16" ht="24" x14ac:dyDescent="0.3">
      <c r="A68" s="9"/>
      <c r="B68" s="26">
        <v>1</v>
      </c>
      <c r="C68" s="27" t="s">
        <v>264</v>
      </c>
      <c r="D68" s="385" t="s">
        <v>265</v>
      </c>
      <c r="E68" s="386"/>
      <c r="F68" s="214"/>
      <c r="G68" s="214"/>
      <c r="H68" s="214" t="s">
        <v>191</v>
      </c>
      <c r="I68" s="28" t="s">
        <v>203</v>
      </c>
      <c r="J68" s="214"/>
      <c r="K68" s="254" t="s">
        <v>191</v>
      </c>
      <c r="L68" s="376" t="s">
        <v>266</v>
      </c>
      <c r="M68" s="376"/>
      <c r="N68" s="376"/>
      <c r="O68" s="377"/>
      <c r="P68" s="10"/>
    </row>
    <row r="69" spans="1:16" ht="24" x14ac:dyDescent="0.3">
      <c r="A69" s="9"/>
      <c r="B69" s="26">
        <v>2</v>
      </c>
      <c r="C69" s="27" t="s">
        <v>235</v>
      </c>
      <c r="D69" s="385" t="s">
        <v>246</v>
      </c>
      <c r="E69" s="386"/>
      <c r="F69" s="214"/>
      <c r="G69" s="214"/>
      <c r="H69" s="214" t="s">
        <v>191</v>
      </c>
      <c r="I69" s="28" t="s">
        <v>188</v>
      </c>
      <c r="J69" s="214"/>
      <c r="K69" s="214"/>
      <c r="L69" s="376"/>
      <c r="M69" s="376"/>
      <c r="N69" s="376"/>
      <c r="O69" s="377"/>
      <c r="P69" s="10"/>
    </row>
    <row r="70" spans="1:16" ht="24" x14ac:dyDescent="0.3">
      <c r="A70" s="9"/>
      <c r="B70" s="26">
        <v>3</v>
      </c>
      <c r="C70" s="27" t="s">
        <v>236</v>
      </c>
      <c r="D70" s="385" t="s">
        <v>247</v>
      </c>
      <c r="E70" s="386"/>
      <c r="F70" s="214"/>
      <c r="G70" s="214"/>
      <c r="H70" s="214" t="s">
        <v>191</v>
      </c>
      <c r="I70" s="28" t="s">
        <v>188</v>
      </c>
      <c r="J70" s="214"/>
      <c r="K70" s="214"/>
      <c r="L70" s="376"/>
      <c r="M70" s="376"/>
      <c r="N70" s="376"/>
      <c r="O70" s="377"/>
      <c r="P70" s="10"/>
    </row>
    <row r="71" spans="1:16" ht="24" x14ac:dyDescent="0.3">
      <c r="A71" s="9"/>
      <c r="B71" s="26">
        <v>4</v>
      </c>
      <c r="C71" s="27" t="s">
        <v>228</v>
      </c>
      <c r="D71" s="249" t="s">
        <v>230</v>
      </c>
      <c r="E71" s="250"/>
      <c r="F71" s="214"/>
      <c r="G71" s="214"/>
      <c r="H71" s="214"/>
      <c r="I71" s="28" t="s">
        <v>188</v>
      </c>
      <c r="J71" s="214"/>
      <c r="K71" s="214"/>
      <c r="L71" s="418" t="s">
        <v>241</v>
      </c>
      <c r="M71" s="419"/>
      <c r="N71" s="419"/>
      <c r="O71" s="420"/>
      <c r="P71" s="10"/>
    </row>
    <row r="72" spans="1:16" ht="24" x14ac:dyDescent="0.3">
      <c r="A72" s="9"/>
      <c r="B72" s="26">
        <v>5</v>
      </c>
      <c r="C72" s="27" t="s">
        <v>229</v>
      </c>
      <c r="D72" s="249" t="s">
        <v>231</v>
      </c>
      <c r="E72" s="250"/>
      <c r="F72" s="214"/>
      <c r="G72" s="214"/>
      <c r="H72" s="214"/>
      <c r="I72" s="28" t="s">
        <v>188</v>
      </c>
      <c r="J72" s="214"/>
      <c r="K72" s="214"/>
      <c r="L72" s="421"/>
      <c r="M72" s="422"/>
      <c r="N72" s="422"/>
      <c r="O72" s="423"/>
      <c r="P72" s="10"/>
    </row>
    <row r="73" spans="1:16" ht="24" x14ac:dyDescent="0.3">
      <c r="A73" s="9"/>
      <c r="B73" s="232">
        <v>6</v>
      </c>
      <c r="C73" s="28" t="s">
        <v>245</v>
      </c>
      <c r="D73" s="385" t="s">
        <v>248</v>
      </c>
      <c r="E73" s="386"/>
      <c r="F73" s="214"/>
      <c r="G73" s="214"/>
      <c r="H73" s="214"/>
      <c r="I73" s="28" t="s">
        <v>190</v>
      </c>
      <c r="J73" s="214">
        <v>255</v>
      </c>
      <c r="K73" s="214"/>
      <c r="L73" s="390"/>
      <c r="M73" s="376"/>
      <c r="N73" s="376"/>
      <c r="O73" s="377"/>
      <c r="P73" s="10"/>
    </row>
    <row r="74" spans="1:16" ht="25" thickBot="1" x14ac:dyDescent="0.35">
      <c r="A74" s="9"/>
      <c r="B74" s="29"/>
      <c r="C74" s="30"/>
      <c r="D74" s="381"/>
      <c r="E74" s="382"/>
      <c r="F74" s="215"/>
      <c r="G74" s="215"/>
      <c r="H74" s="215"/>
      <c r="I74" s="31"/>
      <c r="J74" s="215"/>
      <c r="K74" s="215"/>
      <c r="L74" s="383"/>
      <c r="M74" s="383"/>
      <c r="N74" s="383"/>
      <c r="O74" s="384"/>
      <c r="P74" s="10"/>
    </row>
    <row r="75" spans="1:16" x14ac:dyDescent="0.2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0"/>
    </row>
    <row r="76" spans="1:16" ht="17" thickBot="1" x14ac:dyDescent="0.25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0"/>
    </row>
    <row r="77" spans="1:16" ht="25" thickBot="1" x14ac:dyDescent="0.35">
      <c r="A77" s="9"/>
      <c r="B77" s="32" t="s">
        <v>39</v>
      </c>
      <c r="C77" s="3"/>
      <c r="D77" s="231" t="s">
        <v>271</v>
      </c>
      <c r="E77" s="33"/>
      <c r="F77" s="33"/>
      <c r="G77" s="33"/>
      <c r="H77" s="34"/>
      <c r="I77" s="3"/>
      <c r="J77" s="3"/>
      <c r="K77" s="3"/>
      <c r="L77" s="3"/>
      <c r="M77" s="3"/>
      <c r="N77" s="3"/>
      <c r="O77" s="44"/>
      <c r="P77" s="10"/>
    </row>
    <row r="78" spans="1:16" ht="17" thickBot="1" x14ac:dyDescent="0.25">
      <c r="A78" s="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0"/>
    </row>
    <row r="79" spans="1:16" ht="24" x14ac:dyDescent="0.3">
      <c r="A79" s="9"/>
      <c r="B79" s="24" t="s">
        <v>0</v>
      </c>
      <c r="C79" s="25" t="s">
        <v>29</v>
      </c>
      <c r="D79" s="391" t="s">
        <v>30</v>
      </c>
      <c r="E79" s="392"/>
      <c r="F79" s="25" t="s">
        <v>31</v>
      </c>
      <c r="G79" s="25" t="s">
        <v>32</v>
      </c>
      <c r="H79" s="25" t="s">
        <v>33</v>
      </c>
      <c r="I79" s="25" t="s">
        <v>34</v>
      </c>
      <c r="J79" s="25" t="s">
        <v>35</v>
      </c>
      <c r="K79" s="25" t="s">
        <v>36</v>
      </c>
      <c r="L79" s="393" t="s">
        <v>37</v>
      </c>
      <c r="M79" s="393"/>
      <c r="N79" s="393"/>
      <c r="O79" s="394"/>
      <c r="P79" s="10"/>
    </row>
    <row r="80" spans="1:16" ht="24" x14ac:dyDescent="0.3">
      <c r="A80" s="9"/>
      <c r="B80" s="26">
        <v>1</v>
      </c>
      <c r="C80" s="27" t="s">
        <v>217</v>
      </c>
      <c r="D80" s="385" t="s">
        <v>218</v>
      </c>
      <c r="E80" s="386"/>
      <c r="F80" s="214"/>
      <c r="G80" s="214"/>
      <c r="H80" s="214" t="s">
        <v>191</v>
      </c>
      <c r="I80" s="28" t="s">
        <v>203</v>
      </c>
      <c r="J80" s="214"/>
      <c r="K80" s="254" t="s">
        <v>191</v>
      </c>
      <c r="L80" s="376" t="s">
        <v>327</v>
      </c>
      <c r="M80" s="376"/>
      <c r="N80" s="376"/>
      <c r="O80" s="377"/>
      <c r="P80" s="10"/>
    </row>
    <row r="81" spans="1:16" ht="24" x14ac:dyDescent="0.3">
      <c r="A81" s="9"/>
      <c r="B81" s="26">
        <v>2</v>
      </c>
      <c r="C81" s="27" t="s">
        <v>249</v>
      </c>
      <c r="D81" s="385" t="s">
        <v>257</v>
      </c>
      <c r="E81" s="386"/>
      <c r="F81" s="214"/>
      <c r="G81" s="214"/>
      <c r="H81" s="214" t="s">
        <v>191</v>
      </c>
      <c r="I81" s="28" t="s">
        <v>188</v>
      </c>
      <c r="J81" s="214"/>
      <c r="K81" s="214"/>
      <c r="L81" s="376"/>
      <c r="M81" s="376"/>
      <c r="N81" s="376"/>
      <c r="O81" s="377"/>
      <c r="P81" s="10"/>
    </row>
    <row r="82" spans="1:16" ht="24" x14ac:dyDescent="0.3">
      <c r="A82" s="9"/>
      <c r="B82" s="26">
        <v>3</v>
      </c>
      <c r="C82" s="27" t="s">
        <v>324</v>
      </c>
      <c r="D82" s="385" t="s">
        <v>258</v>
      </c>
      <c r="E82" s="386"/>
      <c r="F82" s="214"/>
      <c r="G82" s="214"/>
      <c r="H82" s="214" t="s">
        <v>191</v>
      </c>
      <c r="I82" s="28" t="s">
        <v>203</v>
      </c>
      <c r="J82" s="214"/>
      <c r="K82" s="254" t="s">
        <v>191</v>
      </c>
      <c r="L82" s="418" t="s">
        <v>408</v>
      </c>
      <c r="M82" s="419"/>
      <c r="N82" s="419"/>
      <c r="O82" s="420"/>
      <c r="P82" s="10"/>
    </row>
    <row r="83" spans="1:16" ht="24" x14ac:dyDescent="0.3">
      <c r="A83" s="9"/>
      <c r="B83" s="26">
        <v>4</v>
      </c>
      <c r="C83" s="27" t="s">
        <v>250</v>
      </c>
      <c r="D83" s="385" t="s">
        <v>259</v>
      </c>
      <c r="E83" s="386"/>
      <c r="F83" s="214"/>
      <c r="G83" s="214"/>
      <c r="H83" s="214" t="s">
        <v>191</v>
      </c>
      <c r="I83" s="28" t="s">
        <v>192</v>
      </c>
      <c r="J83" s="214"/>
      <c r="K83" s="241"/>
      <c r="L83" s="376"/>
      <c r="M83" s="376"/>
      <c r="N83" s="376"/>
      <c r="O83" s="377"/>
      <c r="P83" s="10"/>
    </row>
    <row r="84" spans="1:16" ht="24" x14ac:dyDescent="0.3">
      <c r="A84" s="9"/>
      <c r="B84" s="26">
        <v>5</v>
      </c>
      <c r="C84" s="27" t="s">
        <v>251</v>
      </c>
      <c r="D84" s="385" t="s">
        <v>260</v>
      </c>
      <c r="E84" s="386"/>
      <c r="F84" s="214"/>
      <c r="G84" s="214"/>
      <c r="H84" s="214" t="s">
        <v>191</v>
      </c>
      <c r="I84" s="28" t="s">
        <v>188</v>
      </c>
      <c r="J84" s="214"/>
      <c r="K84" s="241"/>
      <c r="L84" s="376" t="s">
        <v>358</v>
      </c>
      <c r="M84" s="376"/>
      <c r="N84" s="376"/>
      <c r="O84" s="377"/>
      <c r="P84" s="10"/>
    </row>
    <row r="85" spans="1:16" ht="24" x14ac:dyDescent="0.3">
      <c r="A85" s="9"/>
      <c r="B85" s="26">
        <v>6</v>
      </c>
      <c r="C85" s="27" t="s">
        <v>254</v>
      </c>
      <c r="D85" s="385" t="s">
        <v>261</v>
      </c>
      <c r="E85" s="386"/>
      <c r="F85" s="214"/>
      <c r="G85" s="214"/>
      <c r="H85" s="214" t="s">
        <v>191</v>
      </c>
      <c r="I85" s="28" t="s">
        <v>188</v>
      </c>
      <c r="J85" s="214"/>
      <c r="K85" s="241"/>
      <c r="L85" s="376" t="s">
        <v>252</v>
      </c>
      <c r="M85" s="376"/>
      <c r="N85" s="376"/>
      <c r="O85" s="377"/>
      <c r="P85" s="10"/>
    </row>
    <row r="86" spans="1:16" ht="24" x14ac:dyDescent="0.3">
      <c r="A86" s="9"/>
      <c r="B86" s="232">
        <v>7</v>
      </c>
      <c r="C86" s="28" t="s">
        <v>253</v>
      </c>
      <c r="D86" s="385" t="s">
        <v>262</v>
      </c>
      <c r="E86" s="386"/>
      <c r="F86" s="214"/>
      <c r="G86" s="214"/>
      <c r="H86" s="214" t="s">
        <v>191</v>
      </c>
      <c r="I86" s="28" t="s">
        <v>203</v>
      </c>
      <c r="J86" s="214"/>
      <c r="K86" s="254" t="s">
        <v>191</v>
      </c>
      <c r="L86" s="415" t="s">
        <v>268</v>
      </c>
      <c r="M86" s="416"/>
      <c r="N86" s="416"/>
      <c r="O86" s="417"/>
      <c r="P86" s="10"/>
    </row>
    <row r="87" spans="1:16" ht="24" x14ac:dyDescent="0.3">
      <c r="A87" s="9"/>
      <c r="B87" s="26"/>
      <c r="C87" s="27"/>
      <c r="D87" s="385"/>
      <c r="E87" s="386"/>
      <c r="F87" s="214"/>
      <c r="G87" s="214"/>
      <c r="H87" s="214"/>
      <c r="I87" s="28"/>
      <c r="J87" s="214"/>
      <c r="K87" s="214"/>
      <c r="L87" s="376"/>
      <c r="M87" s="376"/>
      <c r="N87" s="376"/>
      <c r="O87" s="377"/>
      <c r="P87" s="10"/>
    </row>
    <row r="88" spans="1:16" ht="25" thickBot="1" x14ac:dyDescent="0.35">
      <c r="A88" s="9"/>
      <c r="B88" s="29"/>
      <c r="C88" s="30"/>
      <c r="D88" s="381"/>
      <c r="E88" s="382"/>
      <c r="F88" s="215"/>
      <c r="G88" s="215"/>
      <c r="H88" s="215"/>
      <c r="I88" s="31"/>
      <c r="J88" s="215"/>
      <c r="K88" s="215"/>
      <c r="L88" s="383"/>
      <c r="M88" s="383"/>
      <c r="N88" s="383"/>
      <c r="O88" s="384"/>
      <c r="P88" s="10"/>
    </row>
    <row r="89" spans="1:16" ht="17" thickBot="1" x14ac:dyDescent="0.25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</row>
    <row r="90" spans="1:16" ht="17" thickBot="1" x14ac:dyDescent="0.25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/>
    </row>
    <row r="91" spans="1:16" ht="25" thickBot="1" x14ac:dyDescent="0.35">
      <c r="A91" s="9"/>
      <c r="B91" s="32" t="s">
        <v>39</v>
      </c>
      <c r="C91" s="3"/>
      <c r="D91" s="231" t="s">
        <v>272</v>
      </c>
      <c r="E91" s="33"/>
      <c r="F91" s="33"/>
      <c r="G91" s="33"/>
      <c r="H91" s="34"/>
      <c r="I91" s="3"/>
      <c r="J91" s="3"/>
      <c r="K91" s="3"/>
      <c r="L91" s="3"/>
      <c r="M91" s="3"/>
      <c r="N91" s="3"/>
      <c r="O91" s="44"/>
      <c r="P91" s="10"/>
    </row>
    <row r="92" spans="1:16" ht="17" thickBot="1" x14ac:dyDescent="0.25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0"/>
    </row>
    <row r="93" spans="1:16" ht="24" x14ac:dyDescent="0.3">
      <c r="A93" s="9"/>
      <c r="B93" s="24" t="s">
        <v>0</v>
      </c>
      <c r="C93" s="25" t="s">
        <v>29</v>
      </c>
      <c r="D93" s="391" t="s">
        <v>30</v>
      </c>
      <c r="E93" s="392"/>
      <c r="F93" s="25" t="s">
        <v>31</v>
      </c>
      <c r="G93" s="25" t="s">
        <v>32</v>
      </c>
      <c r="H93" s="25" t="s">
        <v>33</v>
      </c>
      <c r="I93" s="25" t="s">
        <v>34</v>
      </c>
      <c r="J93" s="25" t="s">
        <v>35</v>
      </c>
      <c r="K93" s="25" t="s">
        <v>36</v>
      </c>
      <c r="L93" s="393" t="s">
        <v>37</v>
      </c>
      <c r="M93" s="393"/>
      <c r="N93" s="393"/>
      <c r="O93" s="394"/>
      <c r="P93" s="10"/>
    </row>
    <row r="94" spans="1:16" ht="24" x14ac:dyDescent="0.3">
      <c r="A94" s="9"/>
      <c r="B94" s="26">
        <v>1</v>
      </c>
      <c r="C94" s="27" t="s">
        <v>320</v>
      </c>
      <c r="D94" s="385" t="s">
        <v>267</v>
      </c>
      <c r="E94" s="386"/>
      <c r="F94" s="214"/>
      <c r="G94" s="214"/>
      <c r="H94" s="214" t="s">
        <v>191</v>
      </c>
      <c r="I94" s="28" t="s">
        <v>203</v>
      </c>
      <c r="J94" s="214"/>
      <c r="K94" s="254" t="s">
        <v>191</v>
      </c>
      <c r="L94" s="376" t="s">
        <v>263</v>
      </c>
      <c r="M94" s="376"/>
      <c r="N94" s="376"/>
      <c r="O94" s="377"/>
      <c r="P94" s="10"/>
    </row>
    <row r="95" spans="1:16" ht="24" x14ac:dyDescent="0.3">
      <c r="A95" s="9"/>
      <c r="B95" s="26">
        <v>2</v>
      </c>
      <c r="C95" s="27" t="s">
        <v>253</v>
      </c>
      <c r="D95" s="385" t="s">
        <v>262</v>
      </c>
      <c r="E95" s="386"/>
      <c r="F95" s="214"/>
      <c r="G95" s="214"/>
      <c r="H95" s="214" t="s">
        <v>191</v>
      </c>
      <c r="I95" s="28" t="s">
        <v>203</v>
      </c>
      <c r="J95" s="214"/>
      <c r="K95" s="254" t="s">
        <v>191</v>
      </c>
      <c r="L95" s="415" t="s">
        <v>268</v>
      </c>
      <c r="M95" s="416"/>
      <c r="N95" s="416"/>
      <c r="O95" s="417"/>
      <c r="P95" s="10"/>
    </row>
    <row r="96" spans="1:16" ht="24" x14ac:dyDescent="0.3">
      <c r="A96" s="9"/>
      <c r="B96" s="26">
        <v>3</v>
      </c>
      <c r="C96" s="27" t="s">
        <v>255</v>
      </c>
      <c r="D96" s="385" t="s">
        <v>269</v>
      </c>
      <c r="E96" s="386"/>
      <c r="F96" s="214"/>
      <c r="G96" s="214"/>
      <c r="H96" s="214" t="s">
        <v>191</v>
      </c>
      <c r="I96" s="28" t="s">
        <v>188</v>
      </c>
      <c r="J96" s="214"/>
      <c r="K96" s="214"/>
      <c r="L96" s="418"/>
      <c r="M96" s="419"/>
      <c r="N96" s="419"/>
      <c r="O96" s="420"/>
      <c r="P96" s="10"/>
    </row>
    <row r="97" spans="1:16" ht="24" x14ac:dyDescent="0.3">
      <c r="A97" s="9"/>
      <c r="B97" s="26">
        <v>4</v>
      </c>
      <c r="C97" s="27" t="s">
        <v>256</v>
      </c>
      <c r="D97" s="385" t="s">
        <v>270</v>
      </c>
      <c r="E97" s="386"/>
      <c r="F97" s="214"/>
      <c r="G97" s="214"/>
      <c r="H97" s="214" t="s">
        <v>191</v>
      </c>
      <c r="I97" s="28" t="s">
        <v>188</v>
      </c>
      <c r="J97" s="214"/>
      <c r="K97" s="241"/>
      <c r="L97" s="376"/>
      <c r="M97" s="376"/>
      <c r="N97" s="376"/>
      <c r="O97" s="377"/>
      <c r="P97" s="10"/>
    </row>
    <row r="98" spans="1:16" ht="24" x14ac:dyDescent="0.3">
      <c r="A98" s="9"/>
      <c r="B98" s="26">
        <v>5</v>
      </c>
      <c r="C98" s="27" t="s">
        <v>245</v>
      </c>
      <c r="D98" s="385" t="s">
        <v>309</v>
      </c>
      <c r="E98" s="386"/>
      <c r="F98" s="214"/>
      <c r="G98" s="214"/>
      <c r="H98" s="214"/>
      <c r="I98" s="28" t="s">
        <v>190</v>
      </c>
      <c r="J98" s="214">
        <v>255</v>
      </c>
      <c r="K98" s="241"/>
      <c r="L98" s="376"/>
      <c r="M98" s="376"/>
      <c r="N98" s="376"/>
      <c r="O98" s="377"/>
      <c r="P98" s="10"/>
    </row>
    <row r="99" spans="1:16" ht="25" thickBot="1" x14ac:dyDescent="0.35">
      <c r="A99" s="9"/>
      <c r="B99" s="29"/>
      <c r="C99" s="30"/>
      <c r="D99" s="413"/>
      <c r="E99" s="414"/>
      <c r="F99" s="215"/>
      <c r="G99" s="215"/>
      <c r="H99" s="215"/>
      <c r="I99" s="31"/>
      <c r="J99" s="215"/>
      <c r="K99" s="215"/>
      <c r="L99" s="383"/>
      <c r="M99" s="383"/>
      <c r="N99" s="383"/>
      <c r="O99" s="384"/>
      <c r="P99" s="10"/>
    </row>
    <row r="100" spans="1:16" ht="24" x14ac:dyDescent="0.3">
      <c r="A100" s="9"/>
      <c r="B100" s="243"/>
      <c r="C100" s="243"/>
      <c r="D100" s="255"/>
      <c r="E100" s="255"/>
      <c r="F100" s="244"/>
      <c r="G100" s="244"/>
      <c r="H100" s="244"/>
      <c r="I100" s="245"/>
      <c r="J100" s="244"/>
      <c r="K100" s="244"/>
      <c r="L100" s="246"/>
      <c r="M100" s="246"/>
      <c r="N100" s="246"/>
      <c r="O100" s="246"/>
      <c r="P100" s="10"/>
    </row>
    <row r="101" spans="1:16" ht="17" thickBot="1" x14ac:dyDescent="0.25">
      <c r="A101" s="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0"/>
    </row>
    <row r="102" spans="1:16" ht="25" thickBot="1" x14ac:dyDescent="0.35">
      <c r="A102" s="9"/>
      <c r="B102" s="32" t="s">
        <v>39</v>
      </c>
      <c r="C102" s="3"/>
      <c r="D102" s="231" t="s">
        <v>449</v>
      </c>
      <c r="E102" s="33"/>
      <c r="F102" s="33"/>
      <c r="G102" s="33"/>
      <c r="H102" s="34"/>
      <c r="I102" s="3"/>
      <c r="J102" s="3"/>
      <c r="K102" s="3"/>
      <c r="L102" s="3"/>
      <c r="M102" s="3"/>
      <c r="N102" s="3"/>
      <c r="O102" s="44"/>
      <c r="P102" s="10"/>
    </row>
    <row r="103" spans="1:16" ht="17" thickBot="1" x14ac:dyDescent="0.25">
      <c r="A103" s="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0"/>
    </row>
    <row r="104" spans="1:16" ht="24" x14ac:dyDescent="0.3">
      <c r="A104" s="9"/>
      <c r="B104" s="24" t="s">
        <v>0</v>
      </c>
      <c r="C104" s="25" t="s">
        <v>29</v>
      </c>
      <c r="D104" s="391" t="s">
        <v>30</v>
      </c>
      <c r="E104" s="392"/>
      <c r="F104" s="25" t="s">
        <v>31</v>
      </c>
      <c r="G104" s="25" t="s">
        <v>32</v>
      </c>
      <c r="H104" s="25" t="s">
        <v>33</v>
      </c>
      <c r="I104" s="25" t="s">
        <v>34</v>
      </c>
      <c r="J104" s="25" t="s">
        <v>35</v>
      </c>
      <c r="K104" s="25" t="s">
        <v>36</v>
      </c>
      <c r="L104" s="393" t="s">
        <v>37</v>
      </c>
      <c r="M104" s="393"/>
      <c r="N104" s="393"/>
      <c r="O104" s="394"/>
      <c r="P104" s="10"/>
    </row>
    <row r="105" spans="1:16" ht="24" x14ac:dyDescent="0.3">
      <c r="A105" s="9"/>
      <c r="B105" s="26">
        <v>1</v>
      </c>
      <c r="C105" s="27" t="s">
        <v>217</v>
      </c>
      <c r="D105" s="385" t="s">
        <v>218</v>
      </c>
      <c r="E105" s="386"/>
      <c r="F105" s="214"/>
      <c r="G105" s="214"/>
      <c r="H105" s="214" t="s">
        <v>191</v>
      </c>
      <c r="I105" s="28" t="s">
        <v>203</v>
      </c>
      <c r="J105" s="214"/>
      <c r="K105" s="254" t="s">
        <v>191</v>
      </c>
      <c r="L105" s="376" t="s">
        <v>327</v>
      </c>
      <c r="M105" s="376"/>
      <c r="N105" s="376"/>
      <c r="O105" s="377"/>
      <c r="P105" s="10"/>
    </row>
    <row r="106" spans="1:16" s="268" customFormat="1" ht="24" x14ac:dyDescent="0.3">
      <c r="A106" s="260"/>
      <c r="B106" s="261">
        <v>2</v>
      </c>
      <c r="C106" s="262" t="s">
        <v>450</v>
      </c>
      <c r="D106" s="374" t="s">
        <v>452</v>
      </c>
      <c r="E106" s="375"/>
      <c r="F106" s="265"/>
      <c r="G106" s="265"/>
      <c r="H106" s="265" t="s">
        <v>191</v>
      </c>
      <c r="I106" s="266" t="s">
        <v>188</v>
      </c>
      <c r="J106" s="265"/>
      <c r="K106" s="265"/>
      <c r="L106" s="368"/>
      <c r="M106" s="368"/>
      <c r="N106" s="368"/>
      <c r="O106" s="369"/>
      <c r="P106" s="267"/>
    </row>
    <row r="107" spans="1:16" s="268" customFormat="1" ht="24" x14ac:dyDescent="0.3">
      <c r="A107" s="260"/>
      <c r="B107" s="261">
        <v>3</v>
      </c>
      <c r="C107" s="262" t="s">
        <v>451</v>
      </c>
      <c r="D107" s="374" t="s">
        <v>404</v>
      </c>
      <c r="E107" s="375"/>
      <c r="F107" s="265"/>
      <c r="G107" s="265"/>
      <c r="H107" s="265" t="s">
        <v>191</v>
      </c>
      <c r="I107" s="266" t="s">
        <v>188</v>
      </c>
      <c r="J107" s="265"/>
      <c r="K107" s="265"/>
      <c r="L107" s="368"/>
      <c r="M107" s="368"/>
      <c r="N107" s="368"/>
      <c r="O107" s="369"/>
      <c r="P107" s="267"/>
    </row>
    <row r="108" spans="1:16" s="268" customFormat="1" ht="24" x14ac:dyDescent="0.3">
      <c r="A108" s="260"/>
      <c r="B108" s="279">
        <v>4</v>
      </c>
      <c r="C108" s="280" t="s">
        <v>405</v>
      </c>
      <c r="D108" s="281" t="s">
        <v>406</v>
      </c>
      <c r="E108" s="282"/>
      <c r="F108" s="283"/>
      <c r="G108" s="283"/>
      <c r="H108" s="265" t="s">
        <v>191</v>
      </c>
      <c r="I108" s="266" t="s">
        <v>188</v>
      </c>
      <c r="J108" s="283"/>
      <c r="K108" s="283"/>
      <c r="L108" s="444" t="s">
        <v>268</v>
      </c>
      <c r="M108" s="445"/>
      <c r="N108" s="445"/>
      <c r="O108" s="446"/>
      <c r="P108" s="267"/>
    </row>
    <row r="109" spans="1:16" s="268" customFormat="1" ht="24" x14ac:dyDescent="0.3">
      <c r="A109" s="260"/>
      <c r="B109" s="279">
        <v>5</v>
      </c>
      <c r="C109" s="280" t="s">
        <v>245</v>
      </c>
      <c r="D109" s="281" t="s">
        <v>453</v>
      </c>
      <c r="E109" s="282"/>
      <c r="F109" s="283"/>
      <c r="G109" s="283"/>
      <c r="H109" s="265"/>
      <c r="I109" s="266" t="s">
        <v>190</v>
      </c>
      <c r="J109" s="283"/>
      <c r="K109" s="283"/>
      <c r="L109" s="444"/>
      <c r="M109" s="445"/>
      <c r="N109" s="445"/>
      <c r="O109" s="446"/>
      <c r="P109" s="267"/>
    </row>
    <row r="110" spans="1:16" ht="25" thickBot="1" x14ac:dyDescent="0.35">
      <c r="A110" s="9"/>
      <c r="B110" s="29">
        <v>6</v>
      </c>
      <c r="C110" s="30" t="s">
        <v>447</v>
      </c>
      <c r="D110" s="381"/>
      <c r="E110" s="382"/>
      <c r="F110" s="215"/>
      <c r="G110" s="215"/>
      <c r="H110" s="215"/>
      <c r="I110" s="31"/>
      <c r="J110" s="215"/>
      <c r="K110" s="215"/>
      <c r="L110" s="383" t="s">
        <v>448</v>
      </c>
      <c r="M110" s="383"/>
      <c r="N110" s="383"/>
      <c r="O110" s="384"/>
      <c r="P110" s="10"/>
    </row>
    <row r="111" spans="1:16" ht="24" x14ac:dyDescent="0.3">
      <c r="A111" s="9"/>
      <c r="B111" s="243"/>
      <c r="C111" s="243"/>
      <c r="D111" s="247"/>
      <c r="E111" s="247"/>
      <c r="F111" s="244"/>
      <c r="G111" s="244"/>
      <c r="H111" s="244"/>
      <c r="I111" s="245"/>
      <c r="J111" s="244"/>
      <c r="K111" s="244"/>
      <c r="L111" s="246"/>
      <c r="M111" s="246"/>
      <c r="N111" s="246"/>
      <c r="O111" s="246"/>
      <c r="P111" s="10"/>
    </row>
    <row r="112" spans="1:16" ht="17" thickBot="1" x14ac:dyDescent="0.25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0"/>
    </row>
    <row r="113" spans="1:16" ht="25" thickBot="1" x14ac:dyDescent="0.35">
      <c r="A113" s="9"/>
      <c r="B113" s="32" t="s">
        <v>39</v>
      </c>
      <c r="C113" s="3"/>
      <c r="D113" s="231" t="s">
        <v>330</v>
      </c>
      <c r="E113" s="33"/>
      <c r="F113" s="33"/>
      <c r="G113" s="33"/>
      <c r="H113" s="34"/>
      <c r="I113" s="3"/>
      <c r="J113" s="3"/>
      <c r="K113" s="3"/>
      <c r="L113" s="3"/>
      <c r="M113" s="3"/>
      <c r="N113" s="3"/>
      <c r="O113" s="44"/>
      <c r="P113" s="10"/>
    </row>
    <row r="114" spans="1:16" ht="17" thickBot="1" x14ac:dyDescent="0.25">
      <c r="A114" s="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0"/>
    </row>
    <row r="115" spans="1:16" ht="24" x14ac:dyDescent="0.3">
      <c r="A115" s="9"/>
      <c r="B115" s="24" t="s">
        <v>0</v>
      </c>
      <c r="C115" s="25" t="s">
        <v>29</v>
      </c>
      <c r="D115" s="391" t="s">
        <v>30</v>
      </c>
      <c r="E115" s="392"/>
      <c r="F115" s="25" t="s">
        <v>31</v>
      </c>
      <c r="G115" s="25" t="s">
        <v>32</v>
      </c>
      <c r="H115" s="25" t="s">
        <v>33</v>
      </c>
      <c r="I115" s="25" t="s">
        <v>34</v>
      </c>
      <c r="J115" s="25" t="s">
        <v>35</v>
      </c>
      <c r="K115" s="25" t="s">
        <v>36</v>
      </c>
      <c r="L115" s="393" t="s">
        <v>37</v>
      </c>
      <c r="M115" s="393"/>
      <c r="N115" s="393"/>
      <c r="O115" s="394"/>
      <c r="P115" s="10"/>
    </row>
    <row r="116" spans="1:16" ht="24" x14ac:dyDescent="0.3">
      <c r="A116" s="9"/>
      <c r="B116" s="26">
        <v>1</v>
      </c>
      <c r="C116" s="27" t="s">
        <v>320</v>
      </c>
      <c r="D116" s="385" t="s">
        <v>267</v>
      </c>
      <c r="E116" s="386"/>
      <c r="F116" s="214"/>
      <c r="G116" s="214"/>
      <c r="H116" s="214" t="s">
        <v>191</v>
      </c>
      <c r="I116" s="28" t="s">
        <v>203</v>
      </c>
      <c r="J116" s="214"/>
      <c r="K116" s="254" t="s">
        <v>191</v>
      </c>
      <c r="L116" s="376" t="s">
        <v>263</v>
      </c>
      <c r="M116" s="376"/>
      <c r="N116" s="376"/>
      <c r="O116" s="377"/>
      <c r="P116" s="10"/>
    </row>
    <row r="117" spans="1:16" ht="24" x14ac:dyDescent="0.3">
      <c r="A117" s="9"/>
      <c r="B117" s="26">
        <v>2</v>
      </c>
      <c r="C117" s="27" t="s">
        <v>328</v>
      </c>
      <c r="D117" s="385" t="s">
        <v>243</v>
      </c>
      <c r="E117" s="386"/>
      <c r="F117" s="214"/>
      <c r="G117" s="214"/>
      <c r="H117" s="214" t="s">
        <v>191</v>
      </c>
      <c r="I117" s="238" t="s">
        <v>188</v>
      </c>
      <c r="J117" s="214"/>
      <c r="K117" s="214"/>
      <c r="L117" s="376" t="s">
        <v>344</v>
      </c>
      <c r="M117" s="376"/>
      <c r="N117" s="376"/>
      <c r="O117" s="377"/>
      <c r="P117" s="10"/>
    </row>
    <row r="118" spans="1:16" ht="24" x14ac:dyDescent="0.3">
      <c r="A118" s="9"/>
      <c r="B118" s="235">
        <v>3</v>
      </c>
      <c r="C118" s="236" t="s">
        <v>333</v>
      </c>
      <c r="D118" s="239" t="s">
        <v>334</v>
      </c>
      <c r="E118" s="240"/>
      <c r="F118" s="237"/>
      <c r="G118" s="237"/>
      <c r="H118" s="214" t="s">
        <v>191</v>
      </c>
      <c r="I118" s="238" t="s">
        <v>188</v>
      </c>
      <c r="J118" s="237"/>
      <c r="K118" s="237"/>
      <c r="L118" s="387"/>
      <c r="M118" s="388"/>
      <c r="N118" s="388"/>
      <c r="O118" s="389"/>
      <c r="P118" s="10"/>
    </row>
    <row r="119" spans="1:16" ht="25" thickBot="1" x14ac:dyDescent="0.35">
      <c r="A119" s="9"/>
      <c r="B119" s="29"/>
      <c r="C119" s="30"/>
      <c r="D119" s="381"/>
      <c r="E119" s="382"/>
      <c r="F119" s="215"/>
      <c r="G119" s="215"/>
      <c r="H119" s="215"/>
      <c r="I119" s="31"/>
      <c r="J119" s="215"/>
      <c r="K119" s="215"/>
      <c r="L119" s="383"/>
      <c r="M119" s="383"/>
      <c r="N119" s="383"/>
      <c r="O119" s="384"/>
      <c r="P119" s="10"/>
    </row>
    <row r="120" spans="1:16" ht="25" thickBot="1" x14ac:dyDescent="0.35">
      <c r="A120" s="9"/>
      <c r="B120" s="243"/>
      <c r="C120" s="243"/>
      <c r="D120" s="247"/>
      <c r="E120" s="247"/>
      <c r="F120" s="244"/>
      <c r="G120" s="244"/>
      <c r="H120" s="244"/>
      <c r="I120" s="245"/>
      <c r="J120" s="244"/>
      <c r="K120" s="244"/>
      <c r="L120" s="246"/>
      <c r="M120" s="246"/>
      <c r="N120" s="246"/>
      <c r="O120" s="246"/>
      <c r="P120" s="10"/>
    </row>
    <row r="121" spans="1:16" ht="25" thickBot="1" x14ac:dyDescent="0.35">
      <c r="A121" s="9"/>
      <c r="B121" s="32" t="s">
        <v>39</v>
      </c>
      <c r="C121" s="3"/>
      <c r="D121" s="231" t="s">
        <v>411</v>
      </c>
      <c r="E121" s="33"/>
      <c r="F121" s="33"/>
      <c r="G121" s="33"/>
      <c r="H121" s="34"/>
      <c r="I121" s="3"/>
      <c r="J121" s="3"/>
      <c r="K121" s="3"/>
      <c r="L121" s="3"/>
      <c r="M121" s="3"/>
      <c r="N121" s="3"/>
      <c r="O121" s="44"/>
      <c r="P121" s="10"/>
    </row>
    <row r="122" spans="1:16" ht="17" thickBot="1" x14ac:dyDescent="0.25">
      <c r="A122" s="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0"/>
    </row>
    <row r="123" spans="1:16" ht="24" x14ac:dyDescent="0.3">
      <c r="A123" s="9"/>
      <c r="B123" s="24" t="s">
        <v>0</v>
      </c>
      <c r="C123" s="25" t="s">
        <v>29</v>
      </c>
      <c r="D123" s="391" t="s">
        <v>30</v>
      </c>
      <c r="E123" s="392"/>
      <c r="F123" s="25" t="s">
        <v>31</v>
      </c>
      <c r="G123" s="25" t="s">
        <v>32</v>
      </c>
      <c r="H123" s="25" t="s">
        <v>33</v>
      </c>
      <c r="I123" s="25" t="s">
        <v>34</v>
      </c>
      <c r="J123" s="25" t="s">
        <v>35</v>
      </c>
      <c r="K123" s="25" t="s">
        <v>36</v>
      </c>
      <c r="L123" s="393" t="s">
        <v>37</v>
      </c>
      <c r="M123" s="393"/>
      <c r="N123" s="393"/>
      <c r="O123" s="394"/>
      <c r="P123" s="10"/>
    </row>
    <row r="124" spans="1:16" ht="24" x14ac:dyDescent="0.3">
      <c r="A124" s="9"/>
      <c r="B124" s="26">
        <v>1</v>
      </c>
      <c r="C124" s="27" t="s">
        <v>277</v>
      </c>
      <c r="D124" s="385" t="s">
        <v>300</v>
      </c>
      <c r="E124" s="386"/>
      <c r="F124" s="214" t="s">
        <v>191</v>
      </c>
      <c r="G124" s="3"/>
      <c r="H124" s="214" t="s">
        <v>191</v>
      </c>
      <c r="I124" s="28" t="s">
        <v>190</v>
      </c>
      <c r="J124" s="214">
        <v>128</v>
      </c>
      <c r="K124" s="214"/>
      <c r="L124" s="415"/>
      <c r="M124" s="416"/>
      <c r="N124" s="416"/>
      <c r="O124" s="417"/>
      <c r="P124" s="10"/>
    </row>
    <row r="125" spans="1:16" ht="24" x14ac:dyDescent="0.3">
      <c r="A125" s="9"/>
      <c r="B125" s="26">
        <v>2</v>
      </c>
      <c r="C125" s="27" t="s">
        <v>285</v>
      </c>
      <c r="D125" s="385" t="s">
        <v>185</v>
      </c>
      <c r="E125" s="386"/>
      <c r="F125" s="214"/>
      <c r="G125" s="214"/>
      <c r="H125" s="214" t="s">
        <v>191</v>
      </c>
      <c r="I125" s="28" t="s">
        <v>190</v>
      </c>
      <c r="J125" s="214">
        <v>40</v>
      </c>
      <c r="K125" s="214">
        <v>128</v>
      </c>
      <c r="L125" s="376"/>
      <c r="M125" s="376"/>
      <c r="N125" s="376"/>
      <c r="O125" s="377"/>
      <c r="P125" s="10"/>
    </row>
    <row r="126" spans="1:16" ht="24" x14ac:dyDescent="0.3">
      <c r="A126" s="9"/>
      <c r="B126" s="235">
        <v>3</v>
      </c>
      <c r="C126" s="236" t="s">
        <v>363</v>
      </c>
      <c r="D126" s="239" t="s">
        <v>187</v>
      </c>
      <c r="E126" s="240"/>
      <c r="F126" s="237"/>
      <c r="G126" s="237"/>
      <c r="H126" s="214" t="s">
        <v>191</v>
      </c>
      <c r="I126" s="238" t="s">
        <v>188</v>
      </c>
      <c r="J126" s="237"/>
      <c r="K126" s="237"/>
      <c r="L126" s="378" t="s">
        <v>365</v>
      </c>
      <c r="M126" s="379"/>
      <c r="N126" s="379"/>
      <c r="O126" s="380"/>
      <c r="P126" s="10"/>
    </row>
    <row r="127" spans="1:16" ht="24" x14ac:dyDescent="0.3">
      <c r="A127" s="9"/>
      <c r="B127" s="235">
        <v>4</v>
      </c>
      <c r="C127" s="236" t="s">
        <v>364</v>
      </c>
      <c r="D127" s="239" t="s">
        <v>366</v>
      </c>
      <c r="E127" s="240"/>
      <c r="F127" s="237"/>
      <c r="G127" s="237"/>
      <c r="H127" s="214" t="s">
        <v>191</v>
      </c>
      <c r="I127" s="238" t="s">
        <v>190</v>
      </c>
      <c r="J127" s="237">
        <v>128</v>
      </c>
      <c r="K127" s="237"/>
      <c r="L127" s="378" t="s">
        <v>367</v>
      </c>
      <c r="M127" s="379"/>
      <c r="N127" s="379"/>
      <c r="O127" s="380"/>
      <c r="P127" s="10"/>
    </row>
    <row r="128" spans="1:16" ht="24" x14ac:dyDescent="0.3">
      <c r="A128" s="9"/>
      <c r="B128" s="235">
        <v>5</v>
      </c>
      <c r="C128" s="27" t="s">
        <v>217</v>
      </c>
      <c r="D128" s="385" t="s">
        <v>218</v>
      </c>
      <c r="E128" s="386"/>
      <c r="F128" s="214"/>
      <c r="G128" s="214"/>
      <c r="H128" s="214" t="s">
        <v>191</v>
      </c>
      <c r="I128" s="28" t="s">
        <v>203</v>
      </c>
      <c r="J128" s="214"/>
      <c r="K128" s="254" t="s">
        <v>191</v>
      </c>
      <c r="L128" s="376" t="s">
        <v>327</v>
      </c>
      <c r="M128" s="376"/>
      <c r="N128" s="376"/>
      <c r="O128" s="377"/>
      <c r="P128" s="10"/>
    </row>
    <row r="129" spans="1:16" ht="24" x14ac:dyDescent="0.3">
      <c r="A129" s="9"/>
      <c r="B129" s="235">
        <v>6</v>
      </c>
      <c r="C129" s="236" t="s">
        <v>370</v>
      </c>
      <c r="D129" s="239" t="s">
        <v>193</v>
      </c>
      <c r="E129" s="240"/>
      <c r="F129" s="237"/>
      <c r="G129" s="237"/>
      <c r="H129" s="214" t="s">
        <v>191</v>
      </c>
      <c r="I129" s="238" t="s">
        <v>192</v>
      </c>
      <c r="J129" s="237"/>
      <c r="K129" s="237"/>
      <c r="L129" s="387"/>
      <c r="M129" s="388"/>
      <c r="N129" s="388"/>
      <c r="O129" s="389"/>
      <c r="P129" s="10"/>
    </row>
    <row r="130" spans="1:16" ht="25" thickBot="1" x14ac:dyDescent="0.35">
      <c r="A130" s="9"/>
      <c r="B130" s="29"/>
      <c r="C130" s="30"/>
      <c r="D130" s="381"/>
      <c r="E130" s="382"/>
      <c r="F130" s="215"/>
      <c r="G130" s="215"/>
      <c r="H130" s="215"/>
      <c r="I130" s="31"/>
      <c r="J130" s="215"/>
      <c r="K130" s="215"/>
      <c r="L130" s="383"/>
      <c r="M130" s="383"/>
      <c r="N130" s="383"/>
      <c r="O130" s="384"/>
      <c r="P130" s="10"/>
    </row>
    <row r="131" spans="1:16" ht="24" x14ac:dyDescent="0.3">
      <c r="A131" s="9"/>
      <c r="B131" s="243"/>
      <c r="C131" s="243"/>
      <c r="D131" s="247"/>
      <c r="E131" s="247"/>
      <c r="F131" s="244"/>
      <c r="G131" s="244"/>
      <c r="H131" s="244"/>
      <c r="I131" s="245"/>
      <c r="J131" s="244"/>
      <c r="K131" s="244"/>
      <c r="L131" s="246"/>
      <c r="M131" s="246"/>
      <c r="N131" s="246"/>
      <c r="O131" s="246"/>
      <c r="P131" s="10"/>
    </row>
    <row r="132" spans="1:16" ht="17" thickBot="1" x14ac:dyDescent="0.25">
      <c r="A132" s="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0"/>
    </row>
    <row r="133" spans="1:16" ht="25" thickBot="1" x14ac:dyDescent="0.35">
      <c r="A133" s="9"/>
      <c r="B133" s="32" t="s">
        <v>39</v>
      </c>
      <c r="C133" s="3"/>
      <c r="D133" s="231" t="s">
        <v>275</v>
      </c>
      <c r="E133" s="33"/>
      <c r="F133" s="33"/>
      <c r="G133" s="33"/>
      <c r="H133" s="34"/>
      <c r="I133" s="3"/>
      <c r="J133" s="3"/>
      <c r="K133" s="3"/>
      <c r="L133" s="3"/>
      <c r="M133" s="3"/>
      <c r="N133" s="3"/>
      <c r="O133" s="44"/>
      <c r="P133" s="10"/>
    </row>
    <row r="134" spans="1:16" ht="17" thickBot="1" x14ac:dyDescent="0.25">
      <c r="A134" s="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0"/>
    </row>
    <row r="135" spans="1:16" ht="24" x14ac:dyDescent="0.3">
      <c r="A135" s="9"/>
      <c r="B135" s="24" t="s">
        <v>0</v>
      </c>
      <c r="C135" s="25" t="s">
        <v>29</v>
      </c>
      <c r="D135" s="391" t="s">
        <v>30</v>
      </c>
      <c r="E135" s="392"/>
      <c r="F135" s="25" t="s">
        <v>31</v>
      </c>
      <c r="G135" s="25" t="s">
        <v>32</v>
      </c>
      <c r="H135" s="25" t="s">
        <v>33</v>
      </c>
      <c r="I135" s="25" t="s">
        <v>34</v>
      </c>
      <c r="J135" s="25" t="s">
        <v>35</v>
      </c>
      <c r="K135" s="25" t="s">
        <v>36</v>
      </c>
      <c r="L135" s="393" t="s">
        <v>37</v>
      </c>
      <c r="M135" s="393"/>
      <c r="N135" s="393"/>
      <c r="O135" s="394"/>
      <c r="P135" s="10"/>
    </row>
    <row r="136" spans="1:16" ht="257" customHeight="1" x14ac:dyDescent="0.2">
      <c r="A136" s="9"/>
      <c r="B136" s="234">
        <v>1</v>
      </c>
      <c r="C136" s="233" t="s">
        <v>289</v>
      </c>
      <c r="D136" s="395" t="s">
        <v>297</v>
      </c>
      <c r="E136" s="396"/>
      <c r="F136" s="214" t="s">
        <v>191</v>
      </c>
      <c r="G136" s="214"/>
      <c r="H136" s="214" t="s">
        <v>191</v>
      </c>
      <c r="I136" s="28" t="s">
        <v>190</v>
      </c>
      <c r="J136" s="214">
        <v>12</v>
      </c>
      <c r="K136" s="214"/>
      <c r="L136" s="410" t="s">
        <v>290</v>
      </c>
      <c r="M136" s="411"/>
      <c r="N136" s="411"/>
      <c r="O136" s="412"/>
      <c r="P136" s="10"/>
    </row>
    <row r="137" spans="1:16" ht="24" x14ac:dyDescent="0.3">
      <c r="A137" s="9"/>
      <c r="B137" s="26">
        <v>2</v>
      </c>
      <c r="C137" s="27" t="s">
        <v>296</v>
      </c>
      <c r="D137" s="385" t="s">
        <v>298</v>
      </c>
      <c r="E137" s="386"/>
      <c r="F137" s="214"/>
      <c r="G137" s="214"/>
      <c r="H137" s="214"/>
      <c r="I137" s="28" t="s">
        <v>190</v>
      </c>
      <c r="J137" s="214">
        <v>255</v>
      </c>
      <c r="K137" s="214"/>
      <c r="L137" s="402"/>
      <c r="M137" s="402"/>
      <c r="N137" s="402"/>
      <c r="O137" s="403"/>
      <c r="P137" s="10"/>
    </row>
    <row r="138" spans="1:16" ht="24" x14ac:dyDescent="0.3">
      <c r="A138" s="9"/>
      <c r="B138" s="26">
        <v>3</v>
      </c>
      <c r="C138" s="27" t="s">
        <v>276</v>
      </c>
      <c r="D138" s="385" t="s">
        <v>299</v>
      </c>
      <c r="E138" s="386"/>
      <c r="F138" s="214"/>
      <c r="G138" s="214"/>
      <c r="H138" s="214" t="s">
        <v>191</v>
      </c>
      <c r="I138" s="28" t="s">
        <v>190</v>
      </c>
      <c r="J138" s="214">
        <v>30</v>
      </c>
      <c r="K138" s="214"/>
      <c r="L138" s="402"/>
      <c r="M138" s="402"/>
      <c r="N138" s="402"/>
      <c r="O138" s="403"/>
      <c r="P138" s="10"/>
    </row>
    <row r="139" spans="1:16" s="268" customFormat="1" ht="24" x14ac:dyDescent="0.3">
      <c r="A139" s="260"/>
      <c r="B139" s="261">
        <v>4</v>
      </c>
      <c r="C139" s="262" t="s">
        <v>278</v>
      </c>
      <c r="D139" s="374" t="s">
        <v>301</v>
      </c>
      <c r="E139" s="375"/>
      <c r="F139" s="265"/>
      <c r="G139" s="265"/>
      <c r="H139" s="265"/>
      <c r="I139" s="288" t="s">
        <v>190</v>
      </c>
      <c r="J139" s="265">
        <v>20</v>
      </c>
      <c r="K139" s="265"/>
      <c r="L139" s="404"/>
      <c r="M139" s="405"/>
      <c r="N139" s="405"/>
      <c r="O139" s="406"/>
      <c r="P139" s="267"/>
    </row>
    <row r="140" spans="1:16" s="268" customFormat="1" ht="24" x14ac:dyDescent="0.3">
      <c r="A140" s="260"/>
      <c r="B140" s="261">
        <v>5</v>
      </c>
      <c r="C140" s="262" t="s">
        <v>279</v>
      </c>
      <c r="D140" s="374" t="s">
        <v>302</v>
      </c>
      <c r="E140" s="375"/>
      <c r="F140" s="265"/>
      <c r="G140" s="265"/>
      <c r="H140" s="265"/>
      <c r="I140" s="288" t="s">
        <v>188</v>
      </c>
      <c r="J140" s="265"/>
      <c r="K140" s="292"/>
      <c r="L140" s="407" t="s">
        <v>292</v>
      </c>
      <c r="M140" s="408"/>
      <c r="N140" s="408"/>
      <c r="O140" s="409"/>
      <c r="P140" s="267"/>
    </row>
    <row r="141" spans="1:16" ht="24" x14ac:dyDescent="0.3">
      <c r="A141" s="9"/>
      <c r="B141" s="26">
        <v>6</v>
      </c>
      <c r="C141" s="27" t="s">
        <v>280</v>
      </c>
      <c r="D141" s="385" t="s">
        <v>302</v>
      </c>
      <c r="E141" s="386"/>
      <c r="F141" s="214"/>
      <c r="G141" s="214"/>
      <c r="H141" s="214"/>
      <c r="I141" s="28" t="s">
        <v>188</v>
      </c>
      <c r="J141" s="214"/>
      <c r="K141" s="241"/>
      <c r="L141" s="399" t="s">
        <v>291</v>
      </c>
      <c r="M141" s="400"/>
      <c r="N141" s="400"/>
      <c r="O141" s="401"/>
      <c r="P141" s="10"/>
    </row>
    <row r="142" spans="1:16" ht="24" x14ac:dyDescent="0.3">
      <c r="A142" s="9"/>
      <c r="B142" s="26">
        <v>7</v>
      </c>
      <c r="C142" s="27" t="s">
        <v>281</v>
      </c>
      <c r="D142" s="385" t="s">
        <v>302</v>
      </c>
      <c r="E142" s="386"/>
      <c r="F142" s="214"/>
      <c r="G142" s="214"/>
      <c r="H142" s="214"/>
      <c r="I142" s="28" t="s">
        <v>190</v>
      </c>
      <c r="J142" s="214">
        <v>128</v>
      </c>
      <c r="K142" s="241"/>
      <c r="L142" s="399"/>
      <c r="M142" s="400"/>
      <c r="N142" s="400"/>
      <c r="O142" s="401"/>
      <c r="P142" s="10"/>
    </row>
    <row r="143" spans="1:16" ht="24" x14ac:dyDescent="0.3">
      <c r="A143" s="9"/>
      <c r="B143" s="26">
        <v>8</v>
      </c>
      <c r="C143" s="27" t="s">
        <v>282</v>
      </c>
      <c r="D143" s="385" t="s">
        <v>303</v>
      </c>
      <c r="E143" s="386"/>
      <c r="F143" s="214"/>
      <c r="G143" s="214"/>
      <c r="H143" s="214"/>
      <c r="I143" s="28" t="s">
        <v>190</v>
      </c>
      <c r="J143" s="214">
        <v>255</v>
      </c>
      <c r="K143" s="241"/>
      <c r="L143" s="399" t="s">
        <v>293</v>
      </c>
      <c r="M143" s="400"/>
      <c r="N143" s="400"/>
      <c r="O143" s="401"/>
      <c r="P143" s="10"/>
    </row>
    <row r="144" spans="1:16" ht="24" x14ac:dyDescent="0.3">
      <c r="A144" s="9"/>
      <c r="B144" s="26">
        <v>9</v>
      </c>
      <c r="C144" s="27" t="s">
        <v>283</v>
      </c>
      <c r="D144" s="385" t="s">
        <v>304</v>
      </c>
      <c r="E144" s="386"/>
      <c r="F144" s="214"/>
      <c r="G144" s="214"/>
      <c r="H144" s="214"/>
      <c r="I144" s="28" t="s">
        <v>190</v>
      </c>
      <c r="J144" s="214">
        <v>255</v>
      </c>
      <c r="K144" s="241"/>
      <c r="L144" s="399" t="s">
        <v>294</v>
      </c>
      <c r="M144" s="400"/>
      <c r="N144" s="400"/>
      <c r="O144" s="401"/>
      <c r="P144" s="10"/>
    </row>
    <row r="145" spans="1:16" ht="24" x14ac:dyDescent="0.3">
      <c r="A145" s="9"/>
      <c r="B145" s="26">
        <v>10</v>
      </c>
      <c r="C145" s="27" t="s">
        <v>368</v>
      </c>
      <c r="D145" s="249" t="s">
        <v>369</v>
      </c>
      <c r="E145" s="250"/>
      <c r="F145" s="214"/>
      <c r="G145" s="214"/>
      <c r="H145" s="214"/>
      <c r="I145" s="28" t="s">
        <v>192</v>
      </c>
      <c r="J145" s="214"/>
      <c r="K145" s="241"/>
      <c r="L145" s="251"/>
      <c r="M145" s="252"/>
      <c r="N145" s="252"/>
      <c r="O145" s="253"/>
      <c r="P145" s="10"/>
    </row>
    <row r="146" spans="1:16" ht="24" x14ac:dyDescent="0.3">
      <c r="A146" s="9"/>
      <c r="B146" s="26">
        <v>11</v>
      </c>
      <c r="C146" s="27" t="s">
        <v>284</v>
      </c>
      <c r="D146" s="385" t="s">
        <v>305</v>
      </c>
      <c r="E146" s="386"/>
      <c r="F146" s="214"/>
      <c r="G146" s="214"/>
      <c r="H146" s="214"/>
      <c r="I146" s="28" t="s">
        <v>188</v>
      </c>
      <c r="J146" s="214"/>
      <c r="K146" s="241"/>
      <c r="L146" s="402" t="s">
        <v>295</v>
      </c>
      <c r="M146" s="402"/>
      <c r="N146" s="402"/>
      <c r="O146" s="403"/>
      <c r="P146" s="10"/>
    </row>
    <row r="147" spans="1:16" ht="24" x14ac:dyDescent="0.3">
      <c r="A147" s="9"/>
      <c r="B147" s="26">
        <v>12</v>
      </c>
      <c r="C147" s="27" t="s">
        <v>286</v>
      </c>
      <c r="D147" s="385" t="s">
        <v>307</v>
      </c>
      <c r="E147" s="386"/>
      <c r="F147" s="214"/>
      <c r="G147" s="214"/>
      <c r="H147" s="214"/>
      <c r="I147" s="28" t="s">
        <v>188</v>
      </c>
      <c r="J147" s="214"/>
      <c r="K147" s="241"/>
      <c r="L147" s="402" t="s">
        <v>352</v>
      </c>
      <c r="M147" s="402"/>
      <c r="N147" s="402"/>
      <c r="O147" s="403"/>
      <c r="P147" s="10"/>
    </row>
    <row r="148" spans="1:16" ht="24" x14ac:dyDescent="0.3">
      <c r="A148" s="9"/>
      <c r="B148" s="26">
        <v>13</v>
      </c>
      <c r="C148" s="27" t="s">
        <v>287</v>
      </c>
      <c r="D148" s="385" t="s">
        <v>306</v>
      </c>
      <c r="E148" s="386"/>
      <c r="F148" s="214"/>
      <c r="G148" s="214"/>
      <c r="H148" s="214"/>
      <c r="I148" s="28" t="s">
        <v>188</v>
      </c>
      <c r="J148" s="214"/>
      <c r="K148" s="241"/>
      <c r="L148" s="402" t="s">
        <v>348</v>
      </c>
      <c r="M148" s="402"/>
      <c r="N148" s="402"/>
      <c r="O148" s="403"/>
      <c r="P148" s="10"/>
    </row>
    <row r="149" spans="1:16" ht="24" x14ac:dyDescent="0.3">
      <c r="A149" s="9"/>
      <c r="B149" s="235">
        <v>14</v>
      </c>
      <c r="C149" s="236" t="s">
        <v>288</v>
      </c>
      <c r="D149" s="385" t="s">
        <v>308</v>
      </c>
      <c r="E149" s="386"/>
      <c r="F149" s="237"/>
      <c r="G149" s="237"/>
      <c r="H149" s="237"/>
      <c r="I149" s="238" t="s">
        <v>190</v>
      </c>
      <c r="J149" s="237">
        <v>255</v>
      </c>
      <c r="K149" s="242"/>
      <c r="L149" s="402"/>
      <c r="M149" s="402"/>
      <c r="N149" s="402"/>
      <c r="O149" s="403"/>
      <c r="P149" s="10"/>
    </row>
    <row r="150" spans="1:16" ht="25" thickBot="1" x14ac:dyDescent="0.35">
      <c r="A150" s="9"/>
      <c r="B150" s="29"/>
      <c r="C150" s="30"/>
      <c r="D150" s="381"/>
      <c r="E150" s="382"/>
      <c r="F150" s="215"/>
      <c r="G150" s="215"/>
      <c r="H150" s="215"/>
      <c r="I150" s="31"/>
      <c r="J150" s="215"/>
      <c r="K150" s="215"/>
      <c r="L150" s="397"/>
      <c r="M150" s="397"/>
      <c r="N150" s="397"/>
      <c r="O150" s="398"/>
      <c r="P150" s="10"/>
    </row>
    <row r="151" spans="1:16" x14ac:dyDescent="0.2">
      <c r="A151" s="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0"/>
    </row>
    <row r="152" spans="1:16" x14ac:dyDescent="0.2">
      <c r="A152" s="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0"/>
    </row>
    <row r="153" spans="1:16" ht="17" thickBot="1" x14ac:dyDescent="0.25">
      <c r="A153" s="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0"/>
    </row>
    <row r="154" spans="1:16" ht="25" thickBot="1" x14ac:dyDescent="0.35">
      <c r="A154" s="9"/>
      <c r="B154" s="32" t="s">
        <v>39</v>
      </c>
      <c r="C154" s="3"/>
      <c r="D154" s="231" t="s">
        <v>331</v>
      </c>
      <c r="E154" s="33"/>
      <c r="F154" s="33"/>
      <c r="G154" s="33"/>
      <c r="H154" s="34"/>
      <c r="I154" s="3"/>
      <c r="J154" s="3"/>
      <c r="K154" s="3"/>
      <c r="L154" s="3"/>
      <c r="M154" s="3"/>
      <c r="N154" s="3"/>
      <c r="O154" s="44"/>
      <c r="P154" s="10"/>
    </row>
    <row r="155" spans="1:16" ht="17" thickBot="1" x14ac:dyDescent="0.25">
      <c r="A155" s="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0"/>
    </row>
    <row r="156" spans="1:16" ht="24" x14ac:dyDescent="0.3">
      <c r="A156" s="9"/>
      <c r="B156" s="24" t="s">
        <v>0</v>
      </c>
      <c r="C156" s="25" t="s">
        <v>29</v>
      </c>
      <c r="D156" s="391" t="s">
        <v>30</v>
      </c>
      <c r="E156" s="392"/>
      <c r="F156" s="25" t="s">
        <v>31</v>
      </c>
      <c r="G156" s="25" t="s">
        <v>32</v>
      </c>
      <c r="H156" s="25" t="s">
        <v>33</v>
      </c>
      <c r="I156" s="25" t="s">
        <v>34</v>
      </c>
      <c r="J156" s="25" t="s">
        <v>35</v>
      </c>
      <c r="K156" s="25" t="s">
        <v>36</v>
      </c>
      <c r="L156" s="393" t="s">
        <v>37</v>
      </c>
      <c r="M156" s="393"/>
      <c r="N156" s="393"/>
      <c r="O156" s="394"/>
      <c r="P156" s="10"/>
    </row>
    <row r="157" spans="1:16" ht="24" x14ac:dyDescent="0.3">
      <c r="A157" s="9"/>
      <c r="B157" s="26">
        <v>1</v>
      </c>
      <c r="C157" s="27" t="s">
        <v>310</v>
      </c>
      <c r="D157" s="385" t="s">
        <v>313</v>
      </c>
      <c r="E157" s="386"/>
      <c r="F157" s="214"/>
      <c r="G157" s="214"/>
      <c r="H157" s="214" t="s">
        <v>191</v>
      </c>
      <c r="I157" s="238" t="s">
        <v>190</v>
      </c>
      <c r="J157" s="214">
        <v>255</v>
      </c>
      <c r="K157" s="214"/>
      <c r="L157" s="376"/>
      <c r="M157" s="376"/>
      <c r="N157" s="376"/>
      <c r="O157" s="377"/>
      <c r="P157" s="10"/>
    </row>
    <row r="158" spans="1:16" ht="24" x14ac:dyDescent="0.3">
      <c r="A158" s="9"/>
      <c r="B158" s="26">
        <v>2</v>
      </c>
      <c r="C158" s="27" t="s">
        <v>311</v>
      </c>
      <c r="D158" s="385" t="s">
        <v>314</v>
      </c>
      <c r="E158" s="386"/>
      <c r="F158" s="214"/>
      <c r="G158" s="214"/>
      <c r="H158" s="214"/>
      <c r="I158" s="238" t="s">
        <v>190</v>
      </c>
      <c r="J158" s="214">
        <v>255</v>
      </c>
      <c r="K158" s="214"/>
      <c r="L158" s="376"/>
      <c r="M158" s="376"/>
      <c r="N158" s="376"/>
      <c r="O158" s="377"/>
      <c r="P158" s="10"/>
    </row>
    <row r="159" spans="1:16" ht="24" x14ac:dyDescent="0.3">
      <c r="A159" s="9"/>
      <c r="B159" s="26">
        <v>3</v>
      </c>
      <c r="C159" s="27" t="s">
        <v>322</v>
      </c>
      <c r="D159" s="249" t="s">
        <v>323</v>
      </c>
      <c r="E159" s="250"/>
      <c r="F159" s="214"/>
      <c r="G159" s="214"/>
      <c r="H159" s="214"/>
      <c r="I159" s="238" t="s">
        <v>190</v>
      </c>
      <c r="J159" s="214">
        <v>255</v>
      </c>
      <c r="K159" s="214"/>
      <c r="L159" s="376"/>
      <c r="M159" s="376"/>
      <c r="N159" s="376"/>
      <c r="O159" s="377"/>
      <c r="P159" s="10"/>
    </row>
    <row r="160" spans="1:16" ht="24" x14ac:dyDescent="0.3">
      <c r="A160" s="9"/>
      <c r="B160" s="26">
        <v>4</v>
      </c>
      <c r="C160" s="27" t="s">
        <v>312</v>
      </c>
      <c r="D160" s="385" t="s">
        <v>315</v>
      </c>
      <c r="E160" s="386"/>
      <c r="F160" s="214"/>
      <c r="G160" s="214"/>
      <c r="H160" s="214" t="s">
        <v>191</v>
      </c>
      <c r="I160" s="28" t="s">
        <v>188</v>
      </c>
      <c r="J160" s="214"/>
      <c r="K160" s="214"/>
      <c r="L160" s="376" t="s">
        <v>345</v>
      </c>
      <c r="M160" s="376"/>
      <c r="N160" s="376"/>
      <c r="O160" s="377"/>
      <c r="P160" s="10"/>
    </row>
    <row r="161" spans="1:16" ht="24" x14ac:dyDescent="0.3">
      <c r="A161" s="9"/>
      <c r="B161" s="26">
        <v>5</v>
      </c>
      <c r="C161" s="27" t="s">
        <v>316</v>
      </c>
      <c r="D161" s="385" t="s">
        <v>317</v>
      </c>
      <c r="E161" s="386"/>
      <c r="F161" s="214"/>
      <c r="G161" s="214"/>
      <c r="H161" s="214" t="s">
        <v>191</v>
      </c>
      <c r="I161" s="28" t="s">
        <v>203</v>
      </c>
      <c r="J161" s="214"/>
      <c r="K161" s="254" t="s">
        <v>191</v>
      </c>
      <c r="L161" s="376" t="s">
        <v>268</v>
      </c>
      <c r="M161" s="376"/>
      <c r="N161" s="376"/>
      <c r="O161" s="377"/>
      <c r="P161" s="10"/>
    </row>
    <row r="162" spans="1:16" ht="25" thickBot="1" x14ac:dyDescent="0.35">
      <c r="A162" s="9"/>
      <c r="B162" s="29"/>
      <c r="C162" s="30"/>
      <c r="D162" s="381"/>
      <c r="E162" s="382"/>
      <c r="F162" s="215"/>
      <c r="G162" s="215"/>
      <c r="H162" s="215"/>
      <c r="I162" s="31"/>
      <c r="J162" s="215"/>
      <c r="K162" s="215"/>
      <c r="L162" s="383"/>
      <c r="M162" s="383"/>
      <c r="N162" s="383"/>
      <c r="O162" s="384"/>
      <c r="P162" s="10"/>
    </row>
    <row r="163" spans="1:16" x14ac:dyDescent="0.2">
      <c r="A163" s="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0"/>
    </row>
    <row r="164" spans="1:16" ht="17" thickBot="1" x14ac:dyDescent="0.25">
      <c r="A164" s="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0"/>
    </row>
    <row r="165" spans="1:16" ht="25" thickBot="1" x14ac:dyDescent="0.35">
      <c r="A165" s="9"/>
      <c r="B165" s="32" t="s">
        <v>39</v>
      </c>
      <c r="C165" s="3"/>
      <c r="D165" s="231" t="s">
        <v>382</v>
      </c>
      <c r="E165" s="33"/>
      <c r="F165" s="33"/>
      <c r="G165" s="33"/>
      <c r="H165" s="34"/>
      <c r="I165" s="3"/>
      <c r="J165" s="3"/>
      <c r="K165" s="3"/>
      <c r="L165" s="3"/>
      <c r="M165" s="3"/>
      <c r="N165" s="3"/>
      <c r="O165" s="44"/>
      <c r="P165" s="10"/>
    </row>
    <row r="166" spans="1:16" ht="17" thickBot="1" x14ac:dyDescent="0.25">
      <c r="A166" s="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0"/>
    </row>
    <row r="167" spans="1:16" ht="24" x14ac:dyDescent="0.3">
      <c r="A167" s="9"/>
      <c r="B167" s="24" t="s">
        <v>0</v>
      </c>
      <c r="C167" s="25" t="s">
        <v>29</v>
      </c>
      <c r="D167" s="391" t="s">
        <v>30</v>
      </c>
      <c r="E167" s="392"/>
      <c r="F167" s="25" t="s">
        <v>31</v>
      </c>
      <c r="G167" s="25" t="s">
        <v>32</v>
      </c>
      <c r="H167" s="25" t="s">
        <v>33</v>
      </c>
      <c r="I167" s="25" t="s">
        <v>34</v>
      </c>
      <c r="J167" s="25" t="s">
        <v>35</v>
      </c>
      <c r="K167" s="25" t="s">
        <v>36</v>
      </c>
      <c r="L167" s="393" t="s">
        <v>37</v>
      </c>
      <c r="M167" s="393"/>
      <c r="N167" s="393"/>
      <c r="O167" s="394"/>
      <c r="P167" s="10"/>
    </row>
    <row r="168" spans="1:16" ht="24" x14ac:dyDescent="0.3">
      <c r="A168" s="9"/>
      <c r="B168" s="26">
        <v>1</v>
      </c>
      <c r="C168" s="27" t="s">
        <v>310</v>
      </c>
      <c r="D168" s="385" t="s">
        <v>318</v>
      </c>
      <c r="E168" s="386"/>
      <c r="F168" s="214"/>
      <c r="G168" s="214"/>
      <c r="H168" s="214" t="s">
        <v>191</v>
      </c>
      <c r="I168" s="238" t="s">
        <v>190</v>
      </c>
      <c r="J168" s="214">
        <v>255</v>
      </c>
      <c r="K168" s="214"/>
      <c r="L168" s="376"/>
      <c r="M168" s="376"/>
      <c r="N168" s="376"/>
      <c r="O168" s="377"/>
      <c r="P168" s="10"/>
    </row>
    <row r="169" spans="1:16" ht="24" x14ac:dyDescent="0.3">
      <c r="A169" s="9"/>
      <c r="B169" s="26">
        <v>2</v>
      </c>
      <c r="C169" s="27" t="s">
        <v>311</v>
      </c>
      <c r="D169" s="385" t="s">
        <v>319</v>
      </c>
      <c r="E169" s="386"/>
      <c r="F169" s="214"/>
      <c r="G169" s="214"/>
      <c r="H169" s="214"/>
      <c r="I169" s="238" t="s">
        <v>190</v>
      </c>
      <c r="J169" s="214">
        <v>255</v>
      </c>
      <c r="K169" s="214"/>
      <c r="L169" s="376"/>
      <c r="M169" s="376"/>
      <c r="N169" s="376"/>
      <c r="O169" s="377"/>
      <c r="P169" s="10"/>
    </row>
    <row r="170" spans="1:16" ht="24" x14ac:dyDescent="0.3">
      <c r="A170" s="9"/>
      <c r="B170" s="26">
        <v>3</v>
      </c>
      <c r="C170" s="27" t="s">
        <v>320</v>
      </c>
      <c r="D170" s="249" t="s">
        <v>267</v>
      </c>
      <c r="E170" s="250"/>
      <c r="F170" s="214"/>
      <c r="G170" s="214"/>
      <c r="H170" s="214"/>
      <c r="I170" s="238" t="s">
        <v>203</v>
      </c>
      <c r="J170" s="214"/>
      <c r="K170" s="254" t="s">
        <v>191</v>
      </c>
      <c r="L170" s="376" t="s">
        <v>321</v>
      </c>
      <c r="M170" s="376"/>
      <c r="N170" s="376"/>
      <c r="O170" s="377"/>
      <c r="P170" s="10"/>
    </row>
    <row r="171" spans="1:16" ht="25" thickBot="1" x14ac:dyDescent="0.35">
      <c r="A171" s="9"/>
      <c r="B171" s="29"/>
      <c r="C171" s="30"/>
      <c r="D171" s="381"/>
      <c r="E171" s="382"/>
      <c r="F171" s="215"/>
      <c r="G171" s="215"/>
      <c r="H171" s="215"/>
      <c r="I171" s="31"/>
      <c r="J171" s="215"/>
      <c r="K171" s="215"/>
      <c r="L171" s="383"/>
      <c r="M171" s="383"/>
      <c r="N171" s="383"/>
      <c r="O171" s="384"/>
      <c r="P171" s="10"/>
    </row>
    <row r="172" spans="1:16" x14ac:dyDescent="0.2">
      <c r="A172" s="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0"/>
    </row>
    <row r="173" spans="1:16" ht="17" thickBot="1" x14ac:dyDescent="0.25">
      <c r="A173" s="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0"/>
    </row>
    <row r="174" spans="1:16" ht="25" thickBot="1" x14ac:dyDescent="0.35">
      <c r="A174" s="9"/>
      <c r="B174" s="32" t="s">
        <v>39</v>
      </c>
      <c r="C174" s="3"/>
      <c r="D174" s="231" t="s">
        <v>332</v>
      </c>
      <c r="E174" s="33"/>
      <c r="F174" s="33"/>
      <c r="G174" s="33"/>
      <c r="H174" s="34"/>
      <c r="I174" s="3"/>
      <c r="J174" s="3"/>
      <c r="K174" s="3"/>
      <c r="L174" s="3"/>
      <c r="M174" s="3"/>
      <c r="N174" s="3"/>
      <c r="O174" s="44"/>
      <c r="P174" s="10"/>
    </row>
    <row r="175" spans="1:16" ht="17" thickBot="1" x14ac:dyDescent="0.25">
      <c r="A175" s="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0"/>
    </row>
    <row r="176" spans="1:16" ht="24" x14ac:dyDescent="0.3">
      <c r="A176" s="9"/>
      <c r="B176" s="24" t="s">
        <v>0</v>
      </c>
      <c r="C176" s="25" t="s">
        <v>29</v>
      </c>
      <c r="D176" s="391" t="s">
        <v>30</v>
      </c>
      <c r="E176" s="392"/>
      <c r="F176" s="25" t="s">
        <v>31</v>
      </c>
      <c r="G176" s="25" t="s">
        <v>32</v>
      </c>
      <c r="H176" s="25" t="s">
        <v>33</v>
      </c>
      <c r="I176" s="25" t="s">
        <v>34</v>
      </c>
      <c r="J176" s="25" t="s">
        <v>35</v>
      </c>
      <c r="K176" s="25" t="s">
        <v>36</v>
      </c>
      <c r="L176" s="393" t="s">
        <v>37</v>
      </c>
      <c r="M176" s="393"/>
      <c r="N176" s="393"/>
      <c r="O176" s="394"/>
      <c r="P176" s="10"/>
    </row>
    <row r="177" spans="1:16" ht="24" x14ac:dyDescent="0.3">
      <c r="A177" s="9"/>
      <c r="B177" s="26">
        <v>1</v>
      </c>
      <c r="C177" s="27" t="s">
        <v>310</v>
      </c>
      <c r="D177" s="385" t="s">
        <v>318</v>
      </c>
      <c r="E177" s="386"/>
      <c r="F177" s="214"/>
      <c r="G177" s="214"/>
      <c r="H177" s="214" t="s">
        <v>191</v>
      </c>
      <c r="I177" s="238" t="s">
        <v>190</v>
      </c>
      <c r="J177" s="214">
        <v>255</v>
      </c>
      <c r="K177" s="214"/>
      <c r="L177" s="376"/>
      <c r="M177" s="376"/>
      <c r="N177" s="376"/>
      <c r="O177" s="377"/>
      <c r="P177" s="10"/>
    </row>
    <row r="178" spans="1:16" ht="24" x14ac:dyDescent="0.3">
      <c r="A178" s="9"/>
      <c r="B178" s="26">
        <v>2</v>
      </c>
      <c r="C178" s="27" t="s">
        <v>311</v>
      </c>
      <c r="D178" s="385" t="s">
        <v>319</v>
      </c>
      <c r="E178" s="386"/>
      <c r="F178" s="214"/>
      <c r="G178" s="214"/>
      <c r="H178" s="214"/>
      <c r="I178" s="238" t="s">
        <v>190</v>
      </c>
      <c r="J178" s="214">
        <v>255</v>
      </c>
      <c r="K178" s="214"/>
      <c r="L178" s="376"/>
      <c r="M178" s="376"/>
      <c r="N178" s="376"/>
      <c r="O178" s="377"/>
      <c r="P178" s="10"/>
    </row>
    <row r="179" spans="1:16" ht="24" x14ac:dyDescent="0.3">
      <c r="A179" s="9"/>
      <c r="B179" s="26">
        <v>3</v>
      </c>
      <c r="C179" s="27" t="s">
        <v>264</v>
      </c>
      <c r="D179" s="249" t="s">
        <v>265</v>
      </c>
      <c r="E179" s="250"/>
      <c r="F179" s="214"/>
      <c r="G179" s="214"/>
      <c r="H179" s="214"/>
      <c r="I179" s="238" t="s">
        <v>203</v>
      </c>
      <c r="J179" s="214"/>
      <c r="K179" s="254" t="s">
        <v>191</v>
      </c>
      <c r="L179" s="376" t="s">
        <v>266</v>
      </c>
      <c r="M179" s="376"/>
      <c r="N179" s="376"/>
      <c r="O179" s="377"/>
      <c r="P179" s="10"/>
    </row>
    <row r="180" spans="1:16" ht="25" thickBot="1" x14ac:dyDescent="0.35">
      <c r="A180" s="9"/>
      <c r="B180" s="29"/>
      <c r="C180" s="30"/>
      <c r="D180" s="381"/>
      <c r="E180" s="382"/>
      <c r="F180" s="215"/>
      <c r="G180" s="215"/>
      <c r="H180" s="215"/>
      <c r="I180" s="31"/>
      <c r="J180" s="215"/>
      <c r="K180" s="215"/>
      <c r="L180" s="383"/>
      <c r="M180" s="383"/>
      <c r="N180" s="383"/>
      <c r="O180" s="384"/>
      <c r="P180" s="10"/>
    </row>
    <row r="181" spans="1:16" ht="17" thickBot="1" x14ac:dyDescent="0.2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</row>
    <row r="182" spans="1:16" ht="17" thickBot="1" x14ac:dyDescent="0.25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8"/>
    </row>
    <row r="183" spans="1:16" ht="25" thickBot="1" x14ac:dyDescent="0.35">
      <c r="A183" s="9"/>
      <c r="B183" s="32" t="s">
        <v>39</v>
      </c>
      <c r="C183" s="3"/>
      <c r="D183" s="231" t="s">
        <v>325</v>
      </c>
      <c r="E183" s="33"/>
      <c r="F183" s="33"/>
      <c r="G183" s="33"/>
      <c r="H183" s="34"/>
      <c r="I183" s="3"/>
      <c r="J183" s="3"/>
      <c r="K183" s="3"/>
      <c r="L183" s="3"/>
      <c r="M183" s="3"/>
      <c r="N183" s="3"/>
      <c r="O183" s="44"/>
      <c r="P183" s="10"/>
    </row>
    <row r="184" spans="1:16" ht="17" thickBot="1" x14ac:dyDescent="0.25">
      <c r="A184" s="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0"/>
    </row>
    <row r="185" spans="1:16" ht="24" x14ac:dyDescent="0.3">
      <c r="A185" s="9"/>
      <c r="B185" s="24" t="s">
        <v>0</v>
      </c>
      <c r="C185" s="25" t="s">
        <v>29</v>
      </c>
      <c r="D185" s="391" t="s">
        <v>30</v>
      </c>
      <c r="E185" s="392"/>
      <c r="F185" s="25" t="s">
        <v>31</v>
      </c>
      <c r="G185" s="25" t="s">
        <v>32</v>
      </c>
      <c r="H185" s="25" t="s">
        <v>33</v>
      </c>
      <c r="I185" s="25" t="s">
        <v>34</v>
      </c>
      <c r="J185" s="25" t="s">
        <v>35</v>
      </c>
      <c r="K185" s="25" t="s">
        <v>36</v>
      </c>
      <c r="L185" s="393" t="s">
        <v>37</v>
      </c>
      <c r="M185" s="393"/>
      <c r="N185" s="393"/>
      <c r="O185" s="394"/>
      <c r="P185" s="10"/>
    </row>
    <row r="186" spans="1:16" ht="24" x14ac:dyDescent="0.3">
      <c r="A186" s="9"/>
      <c r="B186" s="26">
        <v>1</v>
      </c>
      <c r="C186" s="27" t="s">
        <v>329</v>
      </c>
      <c r="D186" s="385" t="s">
        <v>326</v>
      </c>
      <c r="E186" s="386"/>
      <c r="F186" s="214"/>
      <c r="G186" s="214"/>
      <c r="H186" s="214" t="s">
        <v>191</v>
      </c>
      <c r="I186" s="238" t="s">
        <v>190</v>
      </c>
      <c r="J186" s="214">
        <v>255</v>
      </c>
      <c r="K186" s="214"/>
      <c r="L186" s="376"/>
      <c r="M186" s="376"/>
      <c r="N186" s="376"/>
      <c r="O186" s="377"/>
      <c r="P186" s="10"/>
    </row>
    <row r="187" spans="1:16" ht="24" x14ac:dyDescent="0.3">
      <c r="A187" s="9"/>
      <c r="B187" s="26">
        <v>2</v>
      </c>
      <c r="C187" s="27" t="s">
        <v>245</v>
      </c>
      <c r="D187" s="385" t="s">
        <v>409</v>
      </c>
      <c r="E187" s="386"/>
      <c r="F187" s="214"/>
      <c r="G187" s="214"/>
      <c r="H187" s="214"/>
      <c r="I187" s="238" t="s">
        <v>190</v>
      </c>
      <c r="J187" s="214">
        <v>255</v>
      </c>
      <c r="K187" s="214"/>
      <c r="L187" s="376"/>
      <c r="M187" s="376"/>
      <c r="N187" s="376"/>
      <c r="O187" s="377"/>
      <c r="P187" s="10"/>
    </row>
    <row r="188" spans="1:16" ht="25" thickBot="1" x14ac:dyDescent="0.35">
      <c r="A188" s="9"/>
      <c r="B188" s="29"/>
      <c r="C188" s="30"/>
      <c r="D188" s="381"/>
      <c r="E188" s="382"/>
      <c r="F188" s="215"/>
      <c r="G188" s="215"/>
      <c r="H188" s="215"/>
      <c r="I188" s="31"/>
      <c r="J188" s="215"/>
      <c r="K188" s="215"/>
      <c r="L188" s="383"/>
      <c r="M188" s="383"/>
      <c r="N188" s="383"/>
      <c r="O188" s="384"/>
      <c r="P188" s="10"/>
    </row>
    <row r="189" spans="1:16" x14ac:dyDescent="0.2">
      <c r="A189" s="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0"/>
    </row>
    <row r="190" spans="1:16" x14ac:dyDescent="0.2">
      <c r="A190" s="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0"/>
    </row>
    <row r="191" spans="1:16" ht="17" thickBot="1" x14ac:dyDescent="0.25">
      <c r="A191" s="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0"/>
    </row>
    <row r="192" spans="1:16" ht="25" thickBot="1" x14ac:dyDescent="0.35">
      <c r="A192" s="9"/>
      <c r="B192" s="32" t="s">
        <v>39</v>
      </c>
      <c r="C192" s="3"/>
      <c r="D192" s="231" t="s">
        <v>335</v>
      </c>
      <c r="E192" s="33"/>
      <c r="F192" s="33"/>
      <c r="G192" s="33"/>
      <c r="H192" s="34"/>
      <c r="I192" s="3"/>
      <c r="J192" s="3"/>
      <c r="K192" s="3"/>
      <c r="L192" s="3"/>
      <c r="M192" s="3"/>
      <c r="N192" s="3"/>
      <c r="O192" s="44"/>
      <c r="P192" s="10"/>
    </row>
    <row r="193" spans="1:16" ht="17" thickBot="1" x14ac:dyDescent="0.25">
      <c r="A193" s="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0"/>
    </row>
    <row r="194" spans="1:16" ht="24" x14ac:dyDescent="0.3">
      <c r="A194" s="9"/>
      <c r="B194" s="24" t="s">
        <v>0</v>
      </c>
      <c r="C194" s="25" t="s">
        <v>29</v>
      </c>
      <c r="D194" s="391" t="s">
        <v>30</v>
      </c>
      <c r="E194" s="392"/>
      <c r="F194" s="25" t="s">
        <v>31</v>
      </c>
      <c r="G194" s="25" t="s">
        <v>32</v>
      </c>
      <c r="H194" s="25" t="s">
        <v>33</v>
      </c>
      <c r="I194" s="25" t="s">
        <v>34</v>
      </c>
      <c r="J194" s="25" t="s">
        <v>35</v>
      </c>
      <c r="K194" s="25" t="s">
        <v>36</v>
      </c>
      <c r="L194" s="393" t="s">
        <v>37</v>
      </c>
      <c r="M194" s="393"/>
      <c r="N194" s="393"/>
      <c r="O194" s="394"/>
      <c r="P194" s="10"/>
    </row>
    <row r="195" spans="1:16" ht="24" x14ac:dyDescent="0.3">
      <c r="A195" s="9"/>
      <c r="B195" s="26">
        <v>1</v>
      </c>
      <c r="C195" s="27" t="s">
        <v>336</v>
      </c>
      <c r="D195" s="385" t="s">
        <v>338</v>
      </c>
      <c r="E195" s="386"/>
      <c r="F195" s="214"/>
      <c r="G195" s="214"/>
      <c r="H195" s="214" t="s">
        <v>191</v>
      </c>
      <c r="I195" s="238" t="s">
        <v>190</v>
      </c>
      <c r="J195" s="214">
        <v>255</v>
      </c>
      <c r="K195" s="214"/>
      <c r="L195" s="376"/>
      <c r="M195" s="376"/>
      <c r="N195" s="376"/>
      <c r="O195" s="377"/>
      <c r="P195" s="10"/>
    </row>
    <row r="196" spans="1:16" s="268" customFormat="1" ht="24" x14ac:dyDescent="0.3">
      <c r="A196" s="260"/>
      <c r="B196" s="261">
        <v>2</v>
      </c>
      <c r="C196" s="262" t="s">
        <v>433</v>
      </c>
      <c r="D196" s="263" t="s">
        <v>434</v>
      </c>
      <c r="E196" s="264"/>
      <c r="F196" s="265"/>
      <c r="G196" s="265"/>
      <c r="H196" s="265" t="s">
        <v>191</v>
      </c>
      <c r="I196" s="266" t="s">
        <v>188</v>
      </c>
      <c r="J196" s="265"/>
      <c r="K196" s="265"/>
      <c r="L196" s="368" t="s">
        <v>292</v>
      </c>
      <c r="M196" s="368"/>
      <c r="N196" s="368"/>
      <c r="O196" s="369"/>
      <c r="P196" s="267"/>
    </row>
    <row r="197" spans="1:16" ht="24" x14ac:dyDescent="0.3">
      <c r="A197" s="9"/>
      <c r="B197" s="26">
        <v>3</v>
      </c>
      <c r="C197" s="27" t="s">
        <v>337</v>
      </c>
      <c r="D197" s="385" t="s">
        <v>339</v>
      </c>
      <c r="E197" s="386"/>
      <c r="F197" s="214"/>
      <c r="G197" s="214"/>
      <c r="H197" s="214" t="s">
        <v>191</v>
      </c>
      <c r="I197" s="238" t="s">
        <v>188</v>
      </c>
      <c r="J197" s="214"/>
      <c r="K197" s="214"/>
      <c r="L197" s="376" t="s">
        <v>340</v>
      </c>
      <c r="M197" s="376"/>
      <c r="N197" s="376"/>
      <c r="O197" s="377"/>
      <c r="P197" s="10"/>
    </row>
    <row r="198" spans="1:16" ht="25" thickBot="1" x14ac:dyDescent="0.35">
      <c r="A198" s="9"/>
      <c r="B198" s="29">
        <v>4</v>
      </c>
      <c r="C198" s="30" t="s">
        <v>245</v>
      </c>
      <c r="D198" s="413" t="s">
        <v>245</v>
      </c>
      <c r="E198" s="414"/>
      <c r="F198" s="215"/>
      <c r="G198" s="215"/>
      <c r="H198" s="215"/>
      <c r="I198" s="31" t="s">
        <v>190</v>
      </c>
      <c r="J198" s="215">
        <v>255</v>
      </c>
      <c r="K198" s="215"/>
      <c r="L198" s="383"/>
      <c r="M198" s="383"/>
      <c r="N198" s="383"/>
      <c r="O198" s="384"/>
      <c r="P198" s="10"/>
    </row>
    <row r="199" spans="1:16" x14ac:dyDescent="0.2">
      <c r="A199" s="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0"/>
    </row>
    <row r="200" spans="1:16" ht="17" thickBot="1" x14ac:dyDescent="0.25">
      <c r="A200" s="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0"/>
    </row>
    <row r="201" spans="1:16" ht="25" thickBot="1" x14ac:dyDescent="0.35">
      <c r="A201" s="9"/>
      <c r="B201" s="32" t="s">
        <v>39</v>
      </c>
      <c r="C201" s="3"/>
      <c r="D201" s="231" t="s">
        <v>341</v>
      </c>
      <c r="E201" s="33"/>
      <c r="F201" s="33"/>
      <c r="G201" s="33"/>
      <c r="H201" s="34"/>
      <c r="I201" s="3"/>
      <c r="J201" s="3"/>
      <c r="K201" s="3"/>
      <c r="L201" s="3"/>
      <c r="M201" s="3"/>
      <c r="N201" s="3"/>
      <c r="O201" s="44"/>
      <c r="P201" s="10"/>
    </row>
    <row r="202" spans="1:16" ht="17" thickBot="1" x14ac:dyDescent="0.25">
      <c r="A202" s="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0"/>
    </row>
    <row r="203" spans="1:16" ht="24" x14ac:dyDescent="0.3">
      <c r="A203" s="9"/>
      <c r="B203" s="24" t="s">
        <v>0</v>
      </c>
      <c r="C203" s="25" t="s">
        <v>29</v>
      </c>
      <c r="D203" s="391" t="s">
        <v>30</v>
      </c>
      <c r="E203" s="392"/>
      <c r="F203" s="25" t="s">
        <v>31</v>
      </c>
      <c r="G203" s="25" t="s">
        <v>32</v>
      </c>
      <c r="H203" s="25" t="s">
        <v>33</v>
      </c>
      <c r="I203" s="25" t="s">
        <v>34</v>
      </c>
      <c r="J203" s="25" t="s">
        <v>35</v>
      </c>
      <c r="K203" s="25" t="s">
        <v>36</v>
      </c>
      <c r="L203" s="393" t="s">
        <v>37</v>
      </c>
      <c r="M203" s="393"/>
      <c r="N203" s="393"/>
      <c r="O203" s="394"/>
      <c r="P203" s="10"/>
    </row>
    <row r="204" spans="1:16" ht="24" x14ac:dyDescent="0.3">
      <c r="A204" s="9"/>
      <c r="B204" s="26">
        <v>1</v>
      </c>
      <c r="C204" s="27" t="s">
        <v>342</v>
      </c>
      <c r="D204" s="385" t="s">
        <v>410</v>
      </c>
      <c r="E204" s="386"/>
      <c r="F204" s="214"/>
      <c r="G204" s="214"/>
      <c r="H204" s="214" t="s">
        <v>191</v>
      </c>
      <c r="I204" s="238" t="s">
        <v>190</v>
      </c>
      <c r="J204" s="214">
        <v>255</v>
      </c>
      <c r="K204" s="214"/>
      <c r="L204" s="376" t="s">
        <v>362</v>
      </c>
      <c r="M204" s="376"/>
      <c r="N204" s="376"/>
      <c r="O204" s="377"/>
      <c r="P204" s="10"/>
    </row>
    <row r="205" spans="1:16" ht="24" x14ac:dyDescent="0.3">
      <c r="A205" s="9"/>
      <c r="B205" s="26">
        <v>2</v>
      </c>
      <c r="C205" s="27" t="s">
        <v>343</v>
      </c>
      <c r="D205" s="385" t="s">
        <v>339</v>
      </c>
      <c r="E205" s="386"/>
      <c r="F205" s="214"/>
      <c r="G205" s="214"/>
      <c r="H205" s="214" t="s">
        <v>191</v>
      </c>
      <c r="I205" s="238" t="s">
        <v>188</v>
      </c>
      <c r="J205" s="214"/>
      <c r="K205" s="214"/>
      <c r="L205" s="376"/>
      <c r="M205" s="376"/>
      <c r="N205" s="376"/>
      <c r="O205" s="377"/>
      <c r="P205" s="10"/>
    </row>
    <row r="206" spans="1:16" ht="24" x14ac:dyDescent="0.3">
      <c r="A206" s="9"/>
      <c r="B206" s="235">
        <v>3</v>
      </c>
      <c r="C206" s="236" t="s">
        <v>245</v>
      </c>
      <c r="D206" s="239" t="s">
        <v>245</v>
      </c>
      <c r="E206" s="240"/>
      <c r="F206" s="237"/>
      <c r="G206" s="237"/>
      <c r="H206" s="237"/>
      <c r="I206" s="238" t="s">
        <v>190</v>
      </c>
      <c r="J206" s="237">
        <v>255</v>
      </c>
      <c r="K206" s="237"/>
      <c r="L206" s="376"/>
      <c r="M206" s="376"/>
      <c r="N206" s="376"/>
      <c r="O206" s="377"/>
      <c r="P206" s="10"/>
    </row>
    <row r="207" spans="1:16" ht="25" thickBot="1" x14ac:dyDescent="0.35">
      <c r="A207" s="9"/>
      <c r="B207" s="29"/>
      <c r="C207" s="30"/>
      <c r="D207" s="381"/>
      <c r="E207" s="382"/>
      <c r="F207" s="215"/>
      <c r="G207" s="215"/>
      <c r="H207" s="215"/>
      <c r="I207" s="31"/>
      <c r="J207" s="215"/>
      <c r="K207" s="215"/>
      <c r="L207" s="383"/>
      <c r="M207" s="383"/>
      <c r="N207" s="383"/>
      <c r="O207" s="384"/>
      <c r="P207" s="10"/>
    </row>
    <row r="208" spans="1:16" x14ac:dyDescent="0.2">
      <c r="A208" s="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0"/>
    </row>
    <row r="209" spans="1:16" ht="17" thickBot="1" x14ac:dyDescent="0.25">
      <c r="A209" s="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0"/>
    </row>
    <row r="210" spans="1:16" ht="25" thickBot="1" x14ac:dyDescent="0.35">
      <c r="A210" s="9"/>
      <c r="B210" s="32" t="s">
        <v>39</v>
      </c>
      <c r="C210" s="3"/>
      <c r="D210" s="231" t="s">
        <v>428</v>
      </c>
      <c r="E210" s="33"/>
      <c r="F210" s="33"/>
      <c r="G210" s="33"/>
      <c r="H210" s="34"/>
      <c r="I210" s="3"/>
      <c r="J210" s="3"/>
      <c r="K210" s="3"/>
      <c r="L210" s="3"/>
      <c r="M210" s="3"/>
      <c r="N210" s="3"/>
      <c r="O210" s="44"/>
      <c r="P210" s="10"/>
    </row>
    <row r="211" spans="1:16" ht="17" thickBot="1" x14ac:dyDescent="0.25">
      <c r="A211" s="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0"/>
    </row>
    <row r="212" spans="1:16" ht="24" x14ac:dyDescent="0.3">
      <c r="A212" s="9"/>
      <c r="B212" s="24" t="s">
        <v>0</v>
      </c>
      <c r="C212" s="25" t="s">
        <v>29</v>
      </c>
      <c r="D212" s="391" t="s">
        <v>30</v>
      </c>
      <c r="E212" s="392"/>
      <c r="F212" s="25" t="s">
        <v>31</v>
      </c>
      <c r="G212" s="25" t="s">
        <v>32</v>
      </c>
      <c r="H212" s="25" t="s">
        <v>33</v>
      </c>
      <c r="I212" s="25" t="s">
        <v>34</v>
      </c>
      <c r="J212" s="25" t="s">
        <v>35</v>
      </c>
      <c r="K212" s="25" t="s">
        <v>36</v>
      </c>
      <c r="L212" s="393" t="s">
        <v>37</v>
      </c>
      <c r="M212" s="393"/>
      <c r="N212" s="393"/>
      <c r="O212" s="394"/>
      <c r="P212" s="10"/>
    </row>
    <row r="213" spans="1:16" ht="24" x14ac:dyDescent="0.3">
      <c r="A213" s="9"/>
      <c r="B213" s="26">
        <v>1</v>
      </c>
      <c r="C213" s="27" t="s">
        <v>346</v>
      </c>
      <c r="D213" s="385" t="s">
        <v>412</v>
      </c>
      <c r="E213" s="386"/>
      <c r="F213" s="214"/>
      <c r="G213" s="214"/>
      <c r="H213" s="214" t="s">
        <v>191</v>
      </c>
      <c r="I213" s="238" t="s">
        <v>190</v>
      </c>
      <c r="J213" s="214">
        <v>255</v>
      </c>
      <c r="K213" s="214"/>
      <c r="L213" s="376" t="s">
        <v>347</v>
      </c>
      <c r="M213" s="376"/>
      <c r="N213" s="376"/>
      <c r="O213" s="377"/>
      <c r="P213" s="10"/>
    </row>
    <row r="214" spans="1:16" ht="24" x14ac:dyDescent="0.3">
      <c r="A214" s="9"/>
      <c r="B214" s="235">
        <v>2</v>
      </c>
      <c r="C214" s="236" t="s">
        <v>245</v>
      </c>
      <c r="D214" s="239" t="s">
        <v>245</v>
      </c>
      <c r="E214" s="240"/>
      <c r="F214" s="237"/>
      <c r="G214" s="237"/>
      <c r="H214" s="237"/>
      <c r="I214" s="238" t="s">
        <v>190</v>
      </c>
      <c r="J214" s="237">
        <v>255</v>
      </c>
      <c r="K214" s="237"/>
      <c r="L214" s="376"/>
      <c r="M214" s="376"/>
      <c r="N214" s="376"/>
      <c r="O214" s="377"/>
      <c r="P214" s="10"/>
    </row>
    <row r="215" spans="1:16" ht="25" thickBot="1" x14ac:dyDescent="0.35">
      <c r="A215" s="9"/>
      <c r="B215" s="29"/>
      <c r="C215" s="30"/>
      <c r="D215" s="381"/>
      <c r="E215" s="382"/>
      <c r="F215" s="215"/>
      <c r="G215" s="215"/>
      <c r="H215" s="215"/>
      <c r="I215" s="31"/>
      <c r="J215" s="215"/>
      <c r="K215" s="215"/>
      <c r="L215" s="383"/>
      <c r="M215" s="383"/>
      <c r="N215" s="383"/>
      <c r="O215" s="384"/>
      <c r="P215" s="10"/>
    </row>
    <row r="216" spans="1:16" x14ac:dyDescent="0.2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0"/>
    </row>
    <row r="217" spans="1:16" ht="17" thickBot="1" x14ac:dyDescent="0.25">
      <c r="A217" s="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0"/>
    </row>
    <row r="218" spans="1:16" ht="25" thickBot="1" x14ac:dyDescent="0.35">
      <c r="A218" s="9"/>
      <c r="B218" s="32" t="s">
        <v>39</v>
      </c>
      <c r="C218" s="3"/>
      <c r="D218" s="231" t="s">
        <v>349</v>
      </c>
      <c r="E218" s="33"/>
      <c r="F218" s="33"/>
      <c r="G218" s="33"/>
      <c r="H218" s="34"/>
      <c r="I218" s="3"/>
      <c r="J218" s="3"/>
      <c r="K218" s="3"/>
      <c r="L218" s="3"/>
      <c r="M218" s="3"/>
      <c r="N218" s="3"/>
      <c r="O218" s="44"/>
      <c r="P218" s="10"/>
    </row>
    <row r="219" spans="1:16" ht="17" thickBot="1" x14ac:dyDescent="0.25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0"/>
    </row>
    <row r="220" spans="1:16" ht="24" x14ac:dyDescent="0.3">
      <c r="A220" s="9"/>
      <c r="B220" s="24" t="s">
        <v>0</v>
      </c>
      <c r="C220" s="25" t="s">
        <v>29</v>
      </c>
      <c r="D220" s="391" t="s">
        <v>30</v>
      </c>
      <c r="E220" s="392"/>
      <c r="F220" s="25" t="s">
        <v>31</v>
      </c>
      <c r="G220" s="25" t="s">
        <v>32</v>
      </c>
      <c r="H220" s="25" t="s">
        <v>33</v>
      </c>
      <c r="I220" s="25" t="s">
        <v>34</v>
      </c>
      <c r="J220" s="25" t="s">
        <v>35</v>
      </c>
      <c r="K220" s="25" t="s">
        <v>36</v>
      </c>
      <c r="L220" s="393" t="s">
        <v>37</v>
      </c>
      <c r="M220" s="393"/>
      <c r="N220" s="393"/>
      <c r="O220" s="394"/>
      <c r="P220" s="10"/>
    </row>
    <row r="221" spans="1:16" ht="24" x14ac:dyDescent="0.3">
      <c r="A221" s="9"/>
      <c r="B221" s="26">
        <v>1</v>
      </c>
      <c r="C221" s="27" t="s">
        <v>287</v>
      </c>
      <c r="D221" s="385" t="s">
        <v>350</v>
      </c>
      <c r="E221" s="386"/>
      <c r="F221" s="214"/>
      <c r="G221" s="214"/>
      <c r="H221" s="214" t="s">
        <v>191</v>
      </c>
      <c r="I221" s="238" t="s">
        <v>190</v>
      </c>
      <c r="J221" s="214">
        <v>255</v>
      </c>
      <c r="K221" s="214"/>
      <c r="L221" s="376" t="s">
        <v>351</v>
      </c>
      <c r="M221" s="376"/>
      <c r="N221" s="376"/>
      <c r="O221" s="377"/>
      <c r="P221" s="10"/>
    </row>
    <row r="222" spans="1:16" ht="24" x14ac:dyDescent="0.3">
      <c r="A222" s="9"/>
      <c r="B222" s="235">
        <v>2</v>
      </c>
      <c r="C222" s="236" t="s">
        <v>245</v>
      </c>
      <c r="D222" s="239" t="s">
        <v>245</v>
      </c>
      <c r="E222" s="240"/>
      <c r="F222" s="237"/>
      <c r="G222" s="237"/>
      <c r="H222" s="237"/>
      <c r="I222" s="238" t="s">
        <v>190</v>
      </c>
      <c r="J222" s="237">
        <v>255</v>
      </c>
      <c r="K222" s="237"/>
      <c r="L222" s="376"/>
      <c r="M222" s="376"/>
      <c r="N222" s="376"/>
      <c r="O222" s="377"/>
      <c r="P222" s="10"/>
    </row>
    <row r="223" spans="1:16" ht="25" thickBot="1" x14ac:dyDescent="0.35">
      <c r="A223" s="9"/>
      <c r="B223" s="29"/>
      <c r="C223" s="30"/>
      <c r="D223" s="381"/>
      <c r="E223" s="382"/>
      <c r="F223" s="215"/>
      <c r="G223" s="215"/>
      <c r="H223" s="215"/>
      <c r="I223" s="31"/>
      <c r="J223" s="215"/>
      <c r="K223" s="215"/>
      <c r="L223" s="383"/>
      <c r="M223" s="383"/>
      <c r="N223" s="383"/>
      <c r="O223" s="384"/>
      <c r="P223" s="10"/>
    </row>
    <row r="224" spans="1:16" ht="24" x14ac:dyDescent="0.3">
      <c r="A224" s="9"/>
      <c r="B224" s="243"/>
      <c r="C224" s="243"/>
      <c r="D224" s="247"/>
      <c r="E224" s="247"/>
      <c r="F224" s="244"/>
      <c r="G224" s="244"/>
      <c r="H224" s="244"/>
      <c r="I224" s="245"/>
      <c r="J224" s="244"/>
      <c r="K224" s="244"/>
      <c r="L224" s="246"/>
      <c r="M224" s="246"/>
      <c r="N224" s="246"/>
      <c r="O224" s="246"/>
      <c r="P224" s="10"/>
    </row>
    <row r="225" spans="1:16" ht="17" thickBot="1" x14ac:dyDescent="0.25">
      <c r="A225" s="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0"/>
    </row>
    <row r="226" spans="1:16" ht="25" thickBot="1" x14ac:dyDescent="0.35">
      <c r="A226" s="9"/>
      <c r="B226" s="32" t="s">
        <v>39</v>
      </c>
      <c r="C226" s="3"/>
      <c r="D226" s="231" t="s">
        <v>387</v>
      </c>
      <c r="E226" s="33"/>
      <c r="F226" s="33"/>
      <c r="G226" s="33"/>
      <c r="H226" s="34"/>
      <c r="I226" s="3"/>
      <c r="J226" s="3"/>
      <c r="K226" s="3"/>
      <c r="L226" s="3"/>
      <c r="M226" s="3"/>
      <c r="N226" s="3"/>
      <c r="O226" s="44"/>
      <c r="P226" s="10"/>
    </row>
    <row r="227" spans="1:16" ht="17" thickBot="1" x14ac:dyDescent="0.25">
      <c r="A227" s="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0"/>
    </row>
    <row r="228" spans="1:16" ht="24" x14ac:dyDescent="0.3">
      <c r="A228" s="9"/>
      <c r="B228" s="24" t="s">
        <v>0</v>
      </c>
      <c r="C228" s="25" t="s">
        <v>29</v>
      </c>
      <c r="D228" s="391" t="s">
        <v>30</v>
      </c>
      <c r="E228" s="392"/>
      <c r="F228" s="25" t="s">
        <v>31</v>
      </c>
      <c r="G228" s="25" t="s">
        <v>32</v>
      </c>
      <c r="H228" s="25" t="s">
        <v>33</v>
      </c>
      <c r="I228" s="25" t="s">
        <v>34</v>
      </c>
      <c r="J228" s="25" t="s">
        <v>35</v>
      </c>
      <c r="K228" s="25" t="s">
        <v>36</v>
      </c>
      <c r="L228" s="393" t="s">
        <v>37</v>
      </c>
      <c r="M228" s="393"/>
      <c r="N228" s="393"/>
      <c r="O228" s="394"/>
      <c r="P228" s="10"/>
    </row>
    <row r="229" spans="1:16" ht="24" x14ac:dyDescent="0.3">
      <c r="A229" s="9"/>
      <c r="B229" s="26">
        <v>1</v>
      </c>
      <c r="C229" s="27" t="s">
        <v>381</v>
      </c>
      <c r="D229" s="385" t="s">
        <v>388</v>
      </c>
      <c r="E229" s="386"/>
      <c r="F229" s="214"/>
      <c r="G229" s="214"/>
      <c r="H229" s="214" t="s">
        <v>191</v>
      </c>
      <c r="I229" s="238" t="s">
        <v>190</v>
      </c>
      <c r="J229" s="214">
        <v>255</v>
      </c>
      <c r="K229" s="214"/>
      <c r="L229" s="376" t="s">
        <v>389</v>
      </c>
      <c r="M229" s="376"/>
      <c r="N229" s="376"/>
      <c r="O229" s="377"/>
      <c r="P229" s="10"/>
    </row>
    <row r="230" spans="1:16" ht="24" x14ac:dyDescent="0.3">
      <c r="A230" s="9"/>
      <c r="B230" s="235">
        <v>2</v>
      </c>
      <c r="C230" s="236" t="s">
        <v>245</v>
      </c>
      <c r="D230" s="239" t="s">
        <v>245</v>
      </c>
      <c r="E230" s="240"/>
      <c r="F230" s="237"/>
      <c r="G230" s="237"/>
      <c r="H230" s="237"/>
      <c r="I230" s="238" t="s">
        <v>190</v>
      </c>
      <c r="J230" s="237">
        <v>255</v>
      </c>
      <c r="K230" s="237"/>
      <c r="L230" s="376"/>
      <c r="M230" s="376"/>
      <c r="N230" s="376"/>
      <c r="O230" s="377"/>
      <c r="P230" s="10"/>
    </row>
    <row r="231" spans="1:16" ht="25" thickBot="1" x14ac:dyDescent="0.35">
      <c r="A231" s="9"/>
      <c r="B231" s="29"/>
      <c r="C231" s="30"/>
      <c r="D231" s="381"/>
      <c r="E231" s="382"/>
      <c r="F231" s="215"/>
      <c r="G231" s="215"/>
      <c r="H231" s="215"/>
      <c r="I231" s="31"/>
      <c r="J231" s="215"/>
      <c r="K231" s="215"/>
      <c r="L231" s="383"/>
      <c r="M231" s="383"/>
      <c r="N231" s="383"/>
      <c r="O231" s="384"/>
      <c r="P231" s="10"/>
    </row>
    <row r="232" spans="1:16" ht="24" x14ac:dyDescent="0.3">
      <c r="A232" s="9"/>
      <c r="B232" s="243"/>
      <c r="C232" s="243"/>
      <c r="D232" s="247"/>
      <c r="E232" s="247"/>
      <c r="F232" s="244"/>
      <c r="G232" s="244"/>
      <c r="H232" s="244"/>
      <c r="I232" s="245"/>
      <c r="J232" s="244"/>
      <c r="K232" s="244"/>
      <c r="L232" s="246"/>
      <c r="M232" s="246"/>
      <c r="N232" s="246"/>
      <c r="O232" s="246"/>
      <c r="P232" s="10"/>
    </row>
    <row r="233" spans="1:16" ht="17" thickBot="1" x14ac:dyDescent="0.25">
      <c r="A233" s="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0"/>
    </row>
    <row r="234" spans="1:16" ht="25" thickBot="1" x14ac:dyDescent="0.35">
      <c r="A234" s="9"/>
      <c r="B234" s="32" t="s">
        <v>39</v>
      </c>
      <c r="C234" s="3"/>
      <c r="D234" s="231" t="s">
        <v>353</v>
      </c>
      <c r="E234" s="33"/>
      <c r="F234" s="33"/>
      <c r="G234" s="33"/>
      <c r="H234" s="34"/>
      <c r="I234" s="3"/>
      <c r="J234" s="3"/>
      <c r="K234" s="3"/>
      <c r="L234" s="3"/>
      <c r="M234" s="3"/>
      <c r="N234" s="3"/>
      <c r="O234" s="44"/>
      <c r="P234" s="10"/>
    </row>
    <row r="235" spans="1:16" ht="17" thickBot="1" x14ac:dyDescent="0.25">
      <c r="A235" s="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0"/>
    </row>
    <row r="236" spans="1:16" ht="24" x14ac:dyDescent="0.3">
      <c r="A236" s="9"/>
      <c r="B236" s="24" t="s">
        <v>0</v>
      </c>
      <c r="C236" s="25" t="s">
        <v>29</v>
      </c>
      <c r="D236" s="391" t="s">
        <v>30</v>
      </c>
      <c r="E236" s="392"/>
      <c r="F236" s="25" t="s">
        <v>31</v>
      </c>
      <c r="G236" s="25" t="s">
        <v>32</v>
      </c>
      <c r="H236" s="25" t="s">
        <v>33</v>
      </c>
      <c r="I236" s="25" t="s">
        <v>34</v>
      </c>
      <c r="J236" s="25" t="s">
        <v>35</v>
      </c>
      <c r="K236" s="25" t="s">
        <v>36</v>
      </c>
      <c r="L236" s="393" t="s">
        <v>37</v>
      </c>
      <c r="M236" s="393"/>
      <c r="N236" s="393"/>
      <c r="O236" s="394"/>
      <c r="P236" s="10"/>
    </row>
    <row r="237" spans="1:16" ht="24" x14ac:dyDescent="0.3">
      <c r="A237" s="9"/>
      <c r="B237" s="26">
        <v>1</v>
      </c>
      <c r="C237" s="27" t="s">
        <v>354</v>
      </c>
      <c r="D237" s="385" t="s">
        <v>350</v>
      </c>
      <c r="E237" s="386"/>
      <c r="F237" s="214"/>
      <c r="G237" s="214"/>
      <c r="H237" s="214" t="s">
        <v>191</v>
      </c>
      <c r="I237" s="238" t="s">
        <v>190</v>
      </c>
      <c r="J237" s="214">
        <v>255</v>
      </c>
      <c r="K237" s="214"/>
      <c r="L237" s="376" t="s">
        <v>355</v>
      </c>
      <c r="M237" s="376"/>
      <c r="N237" s="376"/>
      <c r="O237" s="377"/>
      <c r="P237" s="10"/>
    </row>
    <row r="238" spans="1:16" ht="24" x14ac:dyDescent="0.3">
      <c r="A238" s="9"/>
      <c r="B238" s="235">
        <v>2</v>
      </c>
      <c r="C238" s="236" t="s">
        <v>245</v>
      </c>
      <c r="D238" s="239" t="s">
        <v>245</v>
      </c>
      <c r="E238" s="240"/>
      <c r="F238" s="237"/>
      <c r="G238" s="237"/>
      <c r="H238" s="237"/>
      <c r="I238" s="238" t="s">
        <v>190</v>
      </c>
      <c r="J238" s="237">
        <v>255</v>
      </c>
      <c r="K238" s="237"/>
      <c r="L238" s="390"/>
      <c r="M238" s="376"/>
      <c r="N238" s="376"/>
      <c r="O238" s="377"/>
      <c r="P238" s="10"/>
    </row>
    <row r="239" spans="1:16" ht="25" thickBot="1" x14ac:dyDescent="0.35">
      <c r="A239" s="9"/>
      <c r="B239" s="29"/>
      <c r="C239" s="30"/>
      <c r="D239" s="381"/>
      <c r="E239" s="382"/>
      <c r="F239" s="215"/>
      <c r="G239" s="215"/>
      <c r="H239" s="215"/>
      <c r="I239" s="31"/>
      <c r="J239" s="215"/>
      <c r="K239" s="215"/>
      <c r="L239" s="383"/>
      <c r="M239" s="383"/>
      <c r="N239" s="383"/>
      <c r="O239" s="384"/>
      <c r="P239" s="10"/>
    </row>
    <row r="240" spans="1:16" x14ac:dyDescent="0.2">
      <c r="A240" s="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0"/>
    </row>
    <row r="241" spans="1:16" ht="17" thickBot="1" x14ac:dyDescent="0.25">
      <c r="A241" s="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0"/>
    </row>
    <row r="242" spans="1:16" ht="25" thickBot="1" x14ac:dyDescent="0.35">
      <c r="A242" s="9"/>
      <c r="B242" s="32" t="s">
        <v>39</v>
      </c>
      <c r="C242" s="3"/>
      <c r="D242" s="231" t="s">
        <v>356</v>
      </c>
      <c r="E242" s="33"/>
      <c r="F242" s="33"/>
      <c r="G242" s="33"/>
      <c r="H242" s="34"/>
      <c r="I242" s="3"/>
      <c r="J242" s="3"/>
      <c r="K242" s="3"/>
      <c r="L242" s="3"/>
      <c r="M242" s="3"/>
      <c r="N242" s="3"/>
      <c r="O242" s="44"/>
      <c r="P242" s="10"/>
    </row>
    <row r="243" spans="1:16" ht="17" thickBot="1" x14ac:dyDescent="0.25">
      <c r="A243" s="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0"/>
    </row>
    <row r="244" spans="1:16" ht="24" x14ac:dyDescent="0.3">
      <c r="A244" s="9"/>
      <c r="B244" s="24" t="s">
        <v>0</v>
      </c>
      <c r="C244" s="25" t="s">
        <v>29</v>
      </c>
      <c r="D244" s="391" t="s">
        <v>30</v>
      </c>
      <c r="E244" s="392"/>
      <c r="F244" s="25" t="s">
        <v>31</v>
      </c>
      <c r="G244" s="25" t="s">
        <v>32</v>
      </c>
      <c r="H244" s="25" t="s">
        <v>33</v>
      </c>
      <c r="I244" s="25" t="s">
        <v>34</v>
      </c>
      <c r="J244" s="25" t="s">
        <v>35</v>
      </c>
      <c r="K244" s="25" t="s">
        <v>36</v>
      </c>
      <c r="L244" s="393" t="s">
        <v>37</v>
      </c>
      <c r="M244" s="393"/>
      <c r="N244" s="393"/>
      <c r="O244" s="394"/>
      <c r="P244" s="10"/>
    </row>
    <row r="245" spans="1:16" ht="56" customHeight="1" x14ac:dyDescent="0.2">
      <c r="A245" s="9"/>
      <c r="B245" s="234">
        <v>1</v>
      </c>
      <c r="C245" s="233" t="s">
        <v>357</v>
      </c>
      <c r="D245" s="395" t="s">
        <v>226</v>
      </c>
      <c r="E245" s="396"/>
      <c r="F245" s="214"/>
      <c r="G245" s="214"/>
      <c r="H245" s="214" t="s">
        <v>191</v>
      </c>
      <c r="I245" s="238" t="s">
        <v>190</v>
      </c>
      <c r="J245" s="214">
        <v>255</v>
      </c>
      <c r="K245" s="214"/>
      <c r="L245" s="390" t="s">
        <v>415</v>
      </c>
      <c r="M245" s="376"/>
      <c r="N245" s="376"/>
      <c r="O245" s="377"/>
      <c r="P245" s="10"/>
    </row>
    <row r="246" spans="1:16" ht="24" x14ac:dyDescent="0.3">
      <c r="A246" s="9"/>
      <c r="B246" s="235">
        <v>2</v>
      </c>
      <c r="C246" s="236" t="s">
        <v>245</v>
      </c>
      <c r="D246" s="239" t="s">
        <v>245</v>
      </c>
      <c r="E246" s="240"/>
      <c r="F246" s="237"/>
      <c r="G246" s="237"/>
      <c r="H246" s="237"/>
      <c r="I246" s="238" t="s">
        <v>190</v>
      </c>
      <c r="J246" s="237">
        <v>255</v>
      </c>
      <c r="K246" s="237"/>
      <c r="L246" s="390"/>
      <c r="M246" s="376"/>
      <c r="N246" s="376"/>
      <c r="O246" s="377"/>
      <c r="P246" s="10"/>
    </row>
    <row r="247" spans="1:16" ht="25" thickBot="1" x14ac:dyDescent="0.35">
      <c r="A247" s="9"/>
      <c r="B247" s="29"/>
      <c r="C247" s="30"/>
      <c r="D247" s="381"/>
      <c r="E247" s="382"/>
      <c r="F247" s="215"/>
      <c r="G247" s="215"/>
      <c r="H247" s="215"/>
      <c r="I247" s="31"/>
      <c r="J247" s="215"/>
      <c r="K247" s="215"/>
      <c r="L247" s="383"/>
      <c r="M247" s="383"/>
      <c r="N247" s="383"/>
      <c r="O247" s="384"/>
      <c r="P247" s="10"/>
    </row>
    <row r="248" spans="1:16" x14ac:dyDescent="0.2">
      <c r="A248" s="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0"/>
    </row>
    <row r="249" spans="1:16" ht="17" thickBot="1" x14ac:dyDescent="0.25">
      <c r="A249" s="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0"/>
    </row>
    <row r="250" spans="1:16" ht="25" thickBot="1" x14ac:dyDescent="0.35">
      <c r="A250" s="9"/>
      <c r="B250" s="32" t="s">
        <v>39</v>
      </c>
      <c r="C250" s="3"/>
      <c r="D250" s="231" t="s">
        <v>359</v>
      </c>
      <c r="E250" s="33"/>
      <c r="F250" s="33"/>
      <c r="G250" s="33"/>
      <c r="H250" s="34"/>
      <c r="I250" s="3"/>
      <c r="J250" s="3"/>
      <c r="K250" s="3"/>
      <c r="L250" s="3"/>
      <c r="M250" s="3"/>
      <c r="N250" s="3"/>
      <c r="O250" s="44"/>
      <c r="P250" s="10"/>
    </row>
    <row r="251" spans="1:16" ht="17" thickBot="1" x14ac:dyDescent="0.25">
      <c r="A251" s="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0"/>
    </row>
    <row r="252" spans="1:16" ht="24" x14ac:dyDescent="0.3">
      <c r="A252" s="9"/>
      <c r="B252" s="24" t="s">
        <v>0</v>
      </c>
      <c r="C252" s="25" t="s">
        <v>29</v>
      </c>
      <c r="D252" s="391" t="s">
        <v>30</v>
      </c>
      <c r="E252" s="392"/>
      <c r="F252" s="25" t="s">
        <v>31</v>
      </c>
      <c r="G252" s="25" t="s">
        <v>32</v>
      </c>
      <c r="H252" s="25" t="s">
        <v>33</v>
      </c>
      <c r="I252" s="25" t="s">
        <v>34</v>
      </c>
      <c r="J252" s="25" t="s">
        <v>35</v>
      </c>
      <c r="K252" s="25" t="s">
        <v>36</v>
      </c>
      <c r="L252" s="393" t="s">
        <v>37</v>
      </c>
      <c r="M252" s="393"/>
      <c r="N252" s="393"/>
      <c r="O252" s="394"/>
      <c r="P252" s="10"/>
    </row>
    <row r="253" spans="1:16" ht="24" x14ac:dyDescent="0.2">
      <c r="A253" s="9"/>
      <c r="B253" s="234">
        <v>1</v>
      </c>
      <c r="C253" s="233" t="s">
        <v>357</v>
      </c>
      <c r="D253" s="395" t="s">
        <v>360</v>
      </c>
      <c r="E253" s="396"/>
      <c r="F253" s="214"/>
      <c r="G253" s="214"/>
      <c r="H253" s="214" t="s">
        <v>191</v>
      </c>
      <c r="I253" s="238" t="s">
        <v>190</v>
      </c>
      <c r="J253" s="214">
        <v>255</v>
      </c>
      <c r="K253" s="214"/>
      <c r="L253" s="390" t="s">
        <v>361</v>
      </c>
      <c r="M253" s="376"/>
      <c r="N253" s="376"/>
      <c r="O253" s="377"/>
      <c r="P253" s="10"/>
    </row>
    <row r="254" spans="1:16" ht="24" x14ac:dyDescent="0.3">
      <c r="A254" s="9"/>
      <c r="B254" s="235">
        <v>2</v>
      </c>
      <c r="C254" s="236" t="s">
        <v>245</v>
      </c>
      <c r="D254" s="239" t="s">
        <v>245</v>
      </c>
      <c r="E254" s="240"/>
      <c r="F254" s="237"/>
      <c r="G254" s="237"/>
      <c r="H254" s="237"/>
      <c r="I254" s="238" t="s">
        <v>190</v>
      </c>
      <c r="J254" s="237">
        <v>255</v>
      </c>
      <c r="K254" s="237"/>
      <c r="L254" s="390"/>
      <c r="M254" s="376"/>
      <c r="N254" s="376"/>
      <c r="O254" s="377"/>
      <c r="P254" s="10"/>
    </row>
    <row r="255" spans="1:16" ht="25" thickBot="1" x14ac:dyDescent="0.35">
      <c r="A255" s="9"/>
      <c r="B255" s="29"/>
      <c r="C255" s="30"/>
      <c r="D255" s="381"/>
      <c r="E255" s="382"/>
      <c r="F255" s="215"/>
      <c r="G255" s="215"/>
      <c r="H255" s="215"/>
      <c r="I255" s="31"/>
      <c r="J255" s="215"/>
      <c r="K255" s="215"/>
      <c r="L255" s="383"/>
      <c r="M255" s="383"/>
      <c r="N255" s="383"/>
      <c r="O255" s="384"/>
      <c r="P255" s="10"/>
    </row>
    <row r="256" spans="1:16" x14ac:dyDescent="0.2">
      <c r="A256" s="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0"/>
    </row>
    <row r="257" spans="1:16" ht="17" thickBot="1" x14ac:dyDescent="0.25">
      <c r="A257" s="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0"/>
    </row>
    <row r="258" spans="1:16" ht="25" thickBot="1" x14ac:dyDescent="0.35">
      <c r="A258" s="9"/>
      <c r="B258" s="32" t="s">
        <v>39</v>
      </c>
      <c r="C258" s="3"/>
      <c r="D258" s="231" t="s">
        <v>371</v>
      </c>
      <c r="E258" s="33"/>
      <c r="F258" s="33"/>
      <c r="G258" s="33"/>
      <c r="H258" s="34"/>
      <c r="I258" s="205" t="s">
        <v>383</v>
      </c>
      <c r="J258" s="3"/>
      <c r="K258" s="3"/>
      <c r="L258" s="3"/>
      <c r="M258" s="3"/>
      <c r="N258" s="3"/>
      <c r="O258" s="44"/>
      <c r="P258" s="10"/>
    </row>
    <row r="259" spans="1:16" ht="17" thickBot="1" x14ac:dyDescent="0.25">
      <c r="A259" s="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0"/>
    </row>
    <row r="260" spans="1:16" ht="24" x14ac:dyDescent="0.3">
      <c r="A260" s="9"/>
      <c r="B260" s="24" t="s">
        <v>0</v>
      </c>
      <c r="C260" s="25" t="s">
        <v>29</v>
      </c>
      <c r="D260" s="391" t="s">
        <v>30</v>
      </c>
      <c r="E260" s="392"/>
      <c r="F260" s="25" t="s">
        <v>31</v>
      </c>
      <c r="G260" s="25" t="s">
        <v>32</v>
      </c>
      <c r="H260" s="25" t="s">
        <v>33</v>
      </c>
      <c r="I260" s="25" t="s">
        <v>34</v>
      </c>
      <c r="J260" s="25" t="s">
        <v>35</v>
      </c>
      <c r="K260" s="25" t="s">
        <v>36</v>
      </c>
      <c r="L260" s="393" t="s">
        <v>37</v>
      </c>
      <c r="M260" s="393"/>
      <c r="N260" s="393"/>
      <c r="O260" s="394"/>
      <c r="P260" s="10"/>
    </row>
    <row r="261" spans="1:16" ht="24" x14ac:dyDescent="0.3">
      <c r="A261" s="9"/>
      <c r="B261" s="26">
        <v>1</v>
      </c>
      <c r="C261" s="27" t="s">
        <v>264</v>
      </c>
      <c r="D261" s="385" t="s">
        <v>265</v>
      </c>
      <c r="E261" s="386"/>
      <c r="F261" s="214"/>
      <c r="G261" s="214"/>
      <c r="H261" s="214" t="s">
        <v>191</v>
      </c>
      <c r="I261" s="238" t="s">
        <v>203</v>
      </c>
      <c r="J261" s="214">
        <v>255</v>
      </c>
      <c r="K261" s="214" t="s">
        <v>191</v>
      </c>
      <c r="L261" s="376" t="s">
        <v>266</v>
      </c>
      <c r="M261" s="376"/>
      <c r="N261" s="376"/>
      <c r="O261" s="377"/>
      <c r="P261" s="10"/>
    </row>
    <row r="262" spans="1:16" ht="24" x14ac:dyDescent="0.3">
      <c r="A262" s="9"/>
      <c r="B262" s="26">
        <v>2</v>
      </c>
      <c r="C262" s="27" t="s">
        <v>375</v>
      </c>
      <c r="D262" s="385" t="s">
        <v>376</v>
      </c>
      <c r="E262" s="386"/>
      <c r="F262" s="214"/>
      <c r="G262" s="214"/>
      <c r="H262" s="214" t="s">
        <v>191</v>
      </c>
      <c r="I262" s="238" t="s">
        <v>190</v>
      </c>
      <c r="J262" s="214">
        <v>255</v>
      </c>
      <c r="K262" s="214"/>
      <c r="L262" s="376"/>
      <c r="M262" s="376"/>
      <c r="N262" s="376"/>
      <c r="O262" s="377"/>
      <c r="P262" s="10"/>
    </row>
    <row r="263" spans="1:16" ht="24" x14ac:dyDescent="0.3">
      <c r="A263" s="9"/>
      <c r="B263" s="26">
        <v>3</v>
      </c>
      <c r="C263" s="27" t="s">
        <v>374</v>
      </c>
      <c r="D263" s="385" t="s">
        <v>377</v>
      </c>
      <c r="E263" s="386"/>
      <c r="F263" s="214"/>
      <c r="G263" s="214"/>
      <c r="H263" s="214"/>
      <c r="I263" s="238" t="s">
        <v>190</v>
      </c>
      <c r="J263" s="214">
        <v>255</v>
      </c>
      <c r="K263" s="214"/>
      <c r="L263" s="376"/>
      <c r="M263" s="376"/>
      <c r="N263" s="376"/>
      <c r="O263" s="377"/>
      <c r="P263" s="10"/>
    </row>
    <row r="264" spans="1:16" ht="25" thickBot="1" x14ac:dyDescent="0.35">
      <c r="A264" s="9"/>
      <c r="B264" s="29"/>
      <c r="C264" s="30" t="s">
        <v>217</v>
      </c>
      <c r="D264" s="381"/>
      <c r="E264" s="382"/>
      <c r="F264" s="215"/>
      <c r="G264" s="215"/>
      <c r="H264" s="215"/>
      <c r="I264" s="31"/>
      <c r="J264" s="215"/>
      <c r="K264" s="215"/>
      <c r="L264" s="383"/>
      <c r="M264" s="383"/>
      <c r="N264" s="383"/>
      <c r="O264" s="384"/>
      <c r="P264" s="10"/>
    </row>
    <row r="265" spans="1:16" ht="24" x14ac:dyDescent="0.3">
      <c r="A265" s="9"/>
      <c r="B265" s="3"/>
      <c r="C265" s="44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0"/>
    </row>
    <row r="266" spans="1:16" ht="17" thickBot="1" x14ac:dyDescent="0.25">
      <c r="A266" s="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0"/>
    </row>
    <row r="267" spans="1:16" ht="25" thickBot="1" x14ac:dyDescent="0.35">
      <c r="A267" s="9"/>
      <c r="B267" s="32" t="s">
        <v>39</v>
      </c>
      <c r="C267" s="3"/>
      <c r="D267" s="231" t="s">
        <v>372</v>
      </c>
      <c r="E267" s="33"/>
      <c r="F267" s="33"/>
      <c r="G267" s="33"/>
      <c r="H267" s="34"/>
      <c r="I267" s="205" t="s">
        <v>383</v>
      </c>
      <c r="J267" s="3"/>
      <c r="K267" s="3"/>
      <c r="L267" s="3"/>
      <c r="M267" s="3"/>
      <c r="N267" s="3"/>
      <c r="O267" s="44"/>
      <c r="P267" s="10"/>
    </row>
    <row r="268" spans="1:16" ht="17" thickBot="1" x14ac:dyDescent="0.25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0"/>
    </row>
    <row r="269" spans="1:16" ht="24" x14ac:dyDescent="0.3">
      <c r="A269" s="9"/>
      <c r="B269" s="24" t="s">
        <v>0</v>
      </c>
      <c r="C269" s="25" t="s">
        <v>29</v>
      </c>
      <c r="D269" s="391" t="s">
        <v>30</v>
      </c>
      <c r="E269" s="392"/>
      <c r="F269" s="25" t="s">
        <v>31</v>
      </c>
      <c r="G269" s="25" t="s">
        <v>32</v>
      </c>
      <c r="H269" s="25" t="s">
        <v>33</v>
      </c>
      <c r="I269" s="25" t="s">
        <v>34</v>
      </c>
      <c r="J269" s="25" t="s">
        <v>35</v>
      </c>
      <c r="K269" s="25" t="s">
        <v>36</v>
      </c>
      <c r="L269" s="393" t="s">
        <v>37</v>
      </c>
      <c r="M269" s="393"/>
      <c r="N269" s="393"/>
      <c r="O269" s="394"/>
      <c r="P269" s="10"/>
    </row>
    <row r="270" spans="1:16" ht="24" x14ac:dyDescent="0.3">
      <c r="A270" s="9"/>
      <c r="B270" s="26">
        <v>1</v>
      </c>
      <c r="C270" s="27" t="s">
        <v>378</v>
      </c>
      <c r="D270" s="385" t="s">
        <v>379</v>
      </c>
      <c r="E270" s="386"/>
      <c r="F270" s="214"/>
      <c r="G270" s="214"/>
      <c r="H270" s="214" t="s">
        <v>191</v>
      </c>
      <c r="I270" s="238" t="s">
        <v>190</v>
      </c>
      <c r="J270" s="214">
        <v>255</v>
      </c>
      <c r="K270" s="214"/>
      <c r="L270" s="376"/>
      <c r="M270" s="376"/>
      <c r="N270" s="376"/>
      <c r="O270" s="377"/>
      <c r="P270" s="10"/>
    </row>
    <row r="271" spans="1:16" ht="24" x14ac:dyDescent="0.3">
      <c r="A271" s="9"/>
      <c r="B271" s="26">
        <v>2</v>
      </c>
      <c r="C271" s="27" t="s">
        <v>374</v>
      </c>
      <c r="D271" s="385" t="s">
        <v>380</v>
      </c>
      <c r="E271" s="386"/>
      <c r="F271" s="214"/>
      <c r="G271" s="214"/>
      <c r="H271" s="214"/>
      <c r="I271" s="238" t="s">
        <v>190</v>
      </c>
      <c r="J271" s="214">
        <v>255</v>
      </c>
      <c r="K271" s="214"/>
      <c r="L271" s="376"/>
      <c r="M271" s="376"/>
      <c r="N271" s="376"/>
      <c r="O271" s="377"/>
      <c r="P271" s="10"/>
    </row>
    <row r="272" spans="1:16" ht="24" x14ac:dyDescent="0.3">
      <c r="A272" s="9"/>
      <c r="B272" s="26">
        <v>3</v>
      </c>
      <c r="C272" s="27" t="s">
        <v>217</v>
      </c>
      <c r="D272" s="249" t="s">
        <v>413</v>
      </c>
      <c r="E272" s="250"/>
      <c r="F272" s="214"/>
      <c r="G272" s="214"/>
      <c r="H272" s="214"/>
      <c r="I272" s="238" t="s">
        <v>188</v>
      </c>
      <c r="J272" s="214"/>
      <c r="K272" s="214"/>
      <c r="L272" s="376" t="s">
        <v>414</v>
      </c>
      <c r="M272" s="376"/>
      <c r="N272" s="376"/>
      <c r="O272" s="377"/>
      <c r="P272" s="10"/>
    </row>
    <row r="273" spans="1:16" ht="25" thickBot="1" x14ac:dyDescent="0.35">
      <c r="A273" s="9"/>
      <c r="B273" s="29"/>
      <c r="C273" s="30"/>
      <c r="D273" s="381"/>
      <c r="E273" s="382"/>
      <c r="F273" s="215"/>
      <c r="G273" s="215"/>
      <c r="H273" s="215"/>
      <c r="I273" s="31"/>
      <c r="J273" s="215"/>
      <c r="K273" s="215"/>
      <c r="L273" s="383"/>
      <c r="M273" s="383"/>
      <c r="N273" s="383"/>
      <c r="O273" s="384"/>
      <c r="P273" s="10"/>
    </row>
    <row r="274" spans="1:16" ht="17" thickBot="1" x14ac:dyDescent="0.25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</row>
    <row r="275" spans="1:16" ht="17" thickBot="1" x14ac:dyDescent="0.2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8"/>
    </row>
    <row r="276" spans="1:16" ht="25" thickBot="1" x14ac:dyDescent="0.35">
      <c r="A276" s="9"/>
      <c r="B276" s="32" t="s">
        <v>39</v>
      </c>
      <c r="C276" s="3"/>
      <c r="D276" s="231" t="s">
        <v>373</v>
      </c>
      <c r="E276" s="33"/>
      <c r="F276" s="33"/>
      <c r="G276" s="33"/>
      <c r="H276" s="34"/>
      <c r="I276" s="205" t="s">
        <v>383</v>
      </c>
      <c r="J276" s="3"/>
      <c r="K276" s="3"/>
      <c r="L276" s="3"/>
      <c r="M276" s="3"/>
      <c r="N276" s="3"/>
      <c r="O276" s="44"/>
      <c r="P276" s="10"/>
    </row>
    <row r="277" spans="1:16" ht="17" thickBot="1" x14ac:dyDescent="0.25">
      <c r="A277" s="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0"/>
    </row>
    <row r="278" spans="1:16" ht="24" x14ac:dyDescent="0.3">
      <c r="A278" s="9"/>
      <c r="B278" s="24" t="s">
        <v>0</v>
      </c>
      <c r="C278" s="25" t="s">
        <v>29</v>
      </c>
      <c r="D278" s="391" t="s">
        <v>30</v>
      </c>
      <c r="E278" s="392"/>
      <c r="F278" s="25" t="s">
        <v>31</v>
      </c>
      <c r="G278" s="25" t="s">
        <v>32</v>
      </c>
      <c r="H278" s="25" t="s">
        <v>33</v>
      </c>
      <c r="I278" s="25" t="s">
        <v>34</v>
      </c>
      <c r="J278" s="25" t="s">
        <v>35</v>
      </c>
      <c r="K278" s="25" t="s">
        <v>36</v>
      </c>
      <c r="L278" s="393" t="s">
        <v>37</v>
      </c>
      <c r="M278" s="393"/>
      <c r="N278" s="393"/>
      <c r="O278" s="394"/>
      <c r="P278" s="10"/>
    </row>
    <row r="279" spans="1:16" ht="24" x14ac:dyDescent="0.3">
      <c r="A279" s="9"/>
      <c r="B279" s="26">
        <v>1</v>
      </c>
      <c r="C279" s="27" t="s">
        <v>381</v>
      </c>
      <c r="D279" s="385" t="s">
        <v>384</v>
      </c>
      <c r="E279" s="386"/>
      <c r="F279" s="214"/>
      <c r="G279" s="214"/>
      <c r="H279" s="214" t="s">
        <v>191</v>
      </c>
      <c r="I279" s="238" t="s">
        <v>188</v>
      </c>
      <c r="J279" s="214"/>
      <c r="K279" s="214"/>
      <c r="L279" s="376" t="s">
        <v>385</v>
      </c>
      <c r="M279" s="376"/>
      <c r="N279" s="376"/>
      <c r="O279" s="377"/>
      <c r="P279" s="10"/>
    </row>
    <row r="280" spans="1:16" ht="24" x14ac:dyDescent="0.3">
      <c r="A280" s="9"/>
      <c r="B280" s="26">
        <v>2</v>
      </c>
      <c r="C280" s="27" t="s">
        <v>378</v>
      </c>
      <c r="D280" s="385" t="s">
        <v>386</v>
      </c>
      <c r="E280" s="386"/>
      <c r="F280" s="214"/>
      <c r="G280" s="214"/>
      <c r="H280" s="214" t="s">
        <v>191</v>
      </c>
      <c r="I280" s="238" t="s">
        <v>190</v>
      </c>
      <c r="J280" s="214">
        <v>255</v>
      </c>
      <c r="K280" s="214"/>
      <c r="L280" s="376"/>
      <c r="M280" s="376"/>
      <c r="N280" s="376"/>
      <c r="O280" s="377"/>
      <c r="P280" s="10"/>
    </row>
    <row r="281" spans="1:16" ht="24" x14ac:dyDescent="0.3">
      <c r="A281" s="9"/>
      <c r="B281" s="26">
        <v>3</v>
      </c>
      <c r="C281" s="27" t="s">
        <v>374</v>
      </c>
      <c r="D281" s="442" t="s">
        <v>377</v>
      </c>
      <c r="E281" s="443"/>
      <c r="F281" s="214"/>
      <c r="G281" s="214"/>
      <c r="H281" s="214"/>
      <c r="I281" s="238" t="s">
        <v>190</v>
      </c>
      <c r="J281" s="214">
        <v>255</v>
      </c>
      <c r="K281" s="214"/>
      <c r="L281" s="376"/>
      <c r="M281" s="376"/>
      <c r="N281" s="376"/>
      <c r="O281" s="377"/>
      <c r="P281" s="10"/>
    </row>
    <row r="282" spans="1:16" ht="25" thickBot="1" x14ac:dyDescent="0.35">
      <c r="A282" s="9"/>
      <c r="B282" s="29">
        <v>4</v>
      </c>
      <c r="C282" s="30" t="s">
        <v>217</v>
      </c>
      <c r="D282" s="413" t="s">
        <v>413</v>
      </c>
      <c r="E282" s="414"/>
      <c r="F282" s="215"/>
      <c r="G282" s="215"/>
      <c r="H282" s="215" t="s">
        <v>191</v>
      </c>
      <c r="I282" s="31" t="s">
        <v>188</v>
      </c>
      <c r="J282" s="215"/>
      <c r="K282" s="215" t="s">
        <v>191</v>
      </c>
      <c r="L282" s="383" t="s">
        <v>414</v>
      </c>
      <c r="M282" s="383"/>
      <c r="N282" s="383"/>
      <c r="O282" s="384"/>
      <c r="P282" s="10"/>
    </row>
    <row r="283" spans="1:16" x14ac:dyDescent="0.2">
      <c r="A283" s="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0"/>
    </row>
    <row r="284" spans="1:16" ht="17" thickBot="1" x14ac:dyDescent="0.25">
      <c r="A284" s="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0"/>
    </row>
    <row r="285" spans="1:16" ht="25" thickBot="1" x14ac:dyDescent="0.35">
      <c r="A285" s="9"/>
      <c r="B285" s="32" t="s">
        <v>39</v>
      </c>
      <c r="C285" s="3"/>
      <c r="D285" s="231" t="s">
        <v>390</v>
      </c>
      <c r="E285" s="33"/>
      <c r="F285" s="33"/>
      <c r="G285" s="33"/>
      <c r="H285" s="34"/>
      <c r="I285" s="3"/>
      <c r="J285" s="3"/>
      <c r="K285" s="3"/>
      <c r="L285" s="3"/>
      <c r="M285" s="3"/>
      <c r="N285" s="3"/>
      <c r="O285" s="44"/>
      <c r="P285" s="10"/>
    </row>
    <row r="286" spans="1:16" ht="17" thickBot="1" x14ac:dyDescent="0.25">
      <c r="A286" s="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0"/>
    </row>
    <row r="287" spans="1:16" ht="24" x14ac:dyDescent="0.3">
      <c r="A287" s="9"/>
      <c r="B287" s="24" t="s">
        <v>0</v>
      </c>
      <c r="C287" s="25" t="s">
        <v>29</v>
      </c>
      <c r="D287" s="391" t="s">
        <v>30</v>
      </c>
      <c r="E287" s="392"/>
      <c r="F287" s="25" t="s">
        <v>31</v>
      </c>
      <c r="G287" s="25" t="s">
        <v>32</v>
      </c>
      <c r="H287" s="25" t="s">
        <v>33</v>
      </c>
      <c r="I287" s="25" t="s">
        <v>34</v>
      </c>
      <c r="J287" s="25" t="s">
        <v>35</v>
      </c>
      <c r="K287" s="25" t="s">
        <v>36</v>
      </c>
      <c r="L287" s="393" t="s">
        <v>37</v>
      </c>
      <c r="M287" s="393"/>
      <c r="N287" s="393"/>
      <c r="O287" s="394"/>
      <c r="P287" s="10"/>
    </row>
    <row r="288" spans="1:16" ht="24" x14ac:dyDescent="0.3">
      <c r="A288" s="9"/>
      <c r="B288" s="26">
        <v>1</v>
      </c>
      <c r="C288" s="27" t="s">
        <v>391</v>
      </c>
      <c r="D288" s="385" t="s">
        <v>401</v>
      </c>
      <c r="E288" s="386"/>
      <c r="F288" s="214"/>
      <c r="G288" s="214"/>
      <c r="H288" s="214" t="s">
        <v>191</v>
      </c>
      <c r="I288" s="28" t="s">
        <v>190</v>
      </c>
      <c r="J288" s="214">
        <v>255</v>
      </c>
      <c r="K288" s="214"/>
      <c r="L288" s="376"/>
      <c r="M288" s="376"/>
      <c r="N288" s="376"/>
      <c r="O288" s="377"/>
      <c r="P288" s="10"/>
    </row>
    <row r="289" spans="1:16" ht="24" x14ac:dyDescent="0.3">
      <c r="A289" s="9"/>
      <c r="B289" s="26">
        <v>2</v>
      </c>
      <c r="C289" s="27" t="s">
        <v>392</v>
      </c>
      <c r="D289" s="385" t="s">
        <v>394</v>
      </c>
      <c r="E289" s="386"/>
      <c r="F289" s="214"/>
      <c r="G289" s="214"/>
      <c r="H289" s="214" t="s">
        <v>191</v>
      </c>
      <c r="I289" s="28" t="s">
        <v>190</v>
      </c>
      <c r="J289" s="214">
        <v>255</v>
      </c>
      <c r="K289" s="214"/>
      <c r="L289" s="376" t="s">
        <v>393</v>
      </c>
      <c r="M289" s="376"/>
      <c r="N289" s="376"/>
      <c r="O289" s="377"/>
      <c r="P289" s="10"/>
    </row>
    <row r="290" spans="1:16" ht="24" x14ac:dyDescent="0.2">
      <c r="A290" s="9"/>
      <c r="B290" s="234">
        <v>3</v>
      </c>
      <c r="C290" s="28" t="s">
        <v>395</v>
      </c>
      <c r="D290" s="395" t="s">
        <v>400</v>
      </c>
      <c r="E290" s="396"/>
      <c r="F290" s="214"/>
      <c r="G290" s="214"/>
      <c r="H290" s="214" t="s">
        <v>191</v>
      </c>
      <c r="I290" s="28" t="s">
        <v>190</v>
      </c>
      <c r="J290" s="214">
        <v>255</v>
      </c>
      <c r="K290" s="214"/>
      <c r="L290" s="390"/>
      <c r="M290" s="376"/>
      <c r="N290" s="376"/>
      <c r="O290" s="377"/>
      <c r="P290" s="10"/>
    </row>
    <row r="291" spans="1:16" ht="24" x14ac:dyDescent="0.3">
      <c r="A291" s="9"/>
      <c r="B291" s="26">
        <v>4</v>
      </c>
      <c r="C291" s="27" t="s">
        <v>396</v>
      </c>
      <c r="D291" s="385" t="s">
        <v>399</v>
      </c>
      <c r="E291" s="386"/>
      <c r="F291" s="214"/>
      <c r="G291" s="214"/>
      <c r="H291" s="214" t="s">
        <v>191</v>
      </c>
      <c r="I291" s="28" t="s">
        <v>188</v>
      </c>
      <c r="J291" s="214"/>
      <c r="K291" s="214"/>
      <c r="L291" s="376" t="s">
        <v>252</v>
      </c>
      <c r="M291" s="376"/>
      <c r="N291" s="376"/>
      <c r="O291" s="377"/>
      <c r="P291" s="10"/>
    </row>
    <row r="292" spans="1:16" ht="24" x14ac:dyDescent="0.3">
      <c r="A292" s="9"/>
      <c r="B292" s="26">
        <v>5</v>
      </c>
      <c r="C292" s="27" t="s">
        <v>397</v>
      </c>
      <c r="D292" s="385" t="s">
        <v>398</v>
      </c>
      <c r="E292" s="386"/>
      <c r="F292" s="214"/>
      <c r="G292" s="214"/>
      <c r="H292" s="214"/>
      <c r="I292" s="28" t="s">
        <v>203</v>
      </c>
      <c r="J292" s="214"/>
      <c r="K292" s="214" t="s">
        <v>191</v>
      </c>
      <c r="L292" s="376" t="s">
        <v>268</v>
      </c>
      <c r="M292" s="376"/>
      <c r="N292" s="376"/>
      <c r="O292" s="377"/>
      <c r="P292" s="10"/>
    </row>
    <row r="293" spans="1:16" ht="25" thickBot="1" x14ac:dyDescent="0.35">
      <c r="A293" s="9"/>
      <c r="B293" s="29"/>
      <c r="C293" s="30"/>
      <c r="D293" s="381"/>
      <c r="E293" s="382"/>
      <c r="F293" s="215"/>
      <c r="G293" s="215"/>
      <c r="H293" s="215"/>
      <c r="I293" s="31"/>
      <c r="J293" s="215"/>
      <c r="K293" s="215"/>
      <c r="L293" s="383"/>
      <c r="M293" s="383"/>
      <c r="N293" s="383"/>
      <c r="O293" s="384"/>
      <c r="P293" s="10"/>
    </row>
    <row r="294" spans="1:16" x14ac:dyDescent="0.2">
      <c r="A294" s="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0"/>
    </row>
    <row r="295" spans="1:16" x14ac:dyDescent="0.2">
      <c r="A295" s="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0"/>
    </row>
    <row r="296" spans="1:16" ht="17" thickBot="1" x14ac:dyDescent="0.25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</row>
    <row r="297" spans="1:16" ht="17" thickBot="1" x14ac:dyDescent="0.25"/>
    <row r="298" spans="1:16" ht="25" thickBot="1" x14ac:dyDescent="0.35">
      <c r="A298" s="9"/>
      <c r="B298" s="32" t="s">
        <v>39</v>
      </c>
      <c r="C298" s="3"/>
      <c r="D298" s="231" t="s">
        <v>416</v>
      </c>
      <c r="E298" s="33"/>
      <c r="F298" s="33"/>
      <c r="G298" s="33"/>
      <c r="H298" s="34"/>
      <c r="I298" s="3"/>
      <c r="J298" s="3"/>
      <c r="K298" s="3"/>
      <c r="L298" s="3"/>
      <c r="M298" s="3"/>
      <c r="N298" s="3"/>
      <c r="O298" s="44"/>
      <c r="P298" s="10"/>
    </row>
    <row r="299" spans="1:16" ht="17" thickBot="1" x14ac:dyDescent="0.25">
      <c r="A299" s="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0"/>
    </row>
    <row r="300" spans="1:16" ht="24" x14ac:dyDescent="0.3">
      <c r="A300" s="9"/>
      <c r="B300" s="24" t="s">
        <v>0</v>
      </c>
      <c r="C300" s="25" t="s">
        <v>29</v>
      </c>
      <c r="D300" s="391" t="s">
        <v>30</v>
      </c>
      <c r="E300" s="392"/>
      <c r="F300" s="25" t="s">
        <v>31</v>
      </c>
      <c r="G300" s="25" t="s">
        <v>32</v>
      </c>
      <c r="H300" s="25" t="s">
        <v>33</v>
      </c>
      <c r="I300" s="25" t="s">
        <v>34</v>
      </c>
      <c r="J300" s="25" t="s">
        <v>35</v>
      </c>
      <c r="K300" s="25" t="s">
        <v>36</v>
      </c>
      <c r="L300" s="393" t="s">
        <v>37</v>
      </c>
      <c r="M300" s="393"/>
      <c r="N300" s="393"/>
      <c r="O300" s="394"/>
      <c r="P300" s="10"/>
    </row>
    <row r="301" spans="1:16" ht="24" x14ac:dyDescent="0.3">
      <c r="A301" s="9"/>
      <c r="B301" s="26">
        <v>1</v>
      </c>
      <c r="C301" s="27" t="s">
        <v>417</v>
      </c>
      <c r="D301" s="385"/>
      <c r="E301" s="386"/>
      <c r="F301" s="214"/>
      <c r="G301" s="214"/>
      <c r="H301" s="214" t="s">
        <v>191</v>
      </c>
      <c r="I301" s="28" t="s">
        <v>190</v>
      </c>
      <c r="J301" s="214">
        <v>255</v>
      </c>
      <c r="K301" s="214"/>
      <c r="L301" s="376"/>
      <c r="M301" s="376"/>
      <c r="N301" s="376"/>
      <c r="O301" s="377"/>
      <c r="P301" s="10"/>
    </row>
    <row r="302" spans="1:16" ht="24" x14ac:dyDescent="0.3">
      <c r="A302" s="9"/>
      <c r="B302" s="26">
        <v>2</v>
      </c>
      <c r="C302" s="27" t="s">
        <v>418</v>
      </c>
      <c r="D302" s="385"/>
      <c r="E302" s="386"/>
      <c r="F302" s="214"/>
      <c r="G302" s="214"/>
      <c r="H302" s="214" t="s">
        <v>191</v>
      </c>
      <c r="I302" s="28" t="s">
        <v>188</v>
      </c>
      <c r="J302" s="214"/>
      <c r="K302" s="214"/>
      <c r="L302" s="376" t="s">
        <v>352</v>
      </c>
      <c r="M302" s="376"/>
      <c r="N302" s="376"/>
      <c r="O302" s="377"/>
      <c r="P302" s="10"/>
    </row>
    <row r="303" spans="1:16" ht="24" x14ac:dyDescent="0.2">
      <c r="A303" s="9"/>
      <c r="B303" s="234">
        <v>3</v>
      </c>
      <c r="C303" s="28" t="s">
        <v>419</v>
      </c>
      <c r="D303" s="395"/>
      <c r="E303" s="396"/>
      <c r="F303" s="214"/>
      <c r="G303" s="214"/>
      <c r="H303" s="214" t="s">
        <v>191</v>
      </c>
      <c r="I303" s="28" t="s">
        <v>188</v>
      </c>
      <c r="J303" s="214"/>
      <c r="K303" s="214"/>
      <c r="L303" s="390" t="s">
        <v>348</v>
      </c>
      <c r="M303" s="376"/>
      <c r="N303" s="376"/>
      <c r="O303" s="377"/>
      <c r="P303" s="10"/>
    </row>
    <row r="304" spans="1:16" ht="24" x14ac:dyDescent="0.3">
      <c r="A304" s="9"/>
      <c r="B304" s="26">
        <v>4</v>
      </c>
      <c r="C304" s="27" t="s">
        <v>403</v>
      </c>
      <c r="D304" s="385"/>
      <c r="E304" s="386"/>
      <c r="F304" s="214"/>
      <c r="G304" s="214"/>
      <c r="H304" s="214" t="s">
        <v>191</v>
      </c>
      <c r="I304" s="28" t="s">
        <v>188</v>
      </c>
      <c r="J304" s="214"/>
      <c r="K304" s="214"/>
      <c r="L304" s="376"/>
      <c r="M304" s="376"/>
      <c r="N304" s="376"/>
      <c r="O304" s="377"/>
      <c r="P304" s="10"/>
    </row>
    <row r="305" spans="1:16" ht="24" x14ac:dyDescent="0.3">
      <c r="A305" s="9"/>
      <c r="B305" s="26">
        <v>5</v>
      </c>
      <c r="C305" s="27" t="s">
        <v>333</v>
      </c>
      <c r="D305" s="385"/>
      <c r="E305" s="386"/>
      <c r="F305" s="214"/>
      <c r="G305" s="214"/>
      <c r="H305" s="214" t="s">
        <v>191</v>
      </c>
      <c r="I305" s="28" t="s">
        <v>188</v>
      </c>
      <c r="J305" s="214"/>
      <c r="K305" s="214"/>
      <c r="L305" s="376"/>
      <c r="M305" s="376"/>
      <c r="N305" s="376"/>
      <c r="O305" s="377"/>
      <c r="P305" s="10"/>
    </row>
    <row r="306" spans="1:16" ht="24" x14ac:dyDescent="0.3">
      <c r="A306" s="9"/>
      <c r="B306" s="26">
        <v>6</v>
      </c>
      <c r="C306" s="27" t="s">
        <v>420</v>
      </c>
      <c r="D306" s="385"/>
      <c r="E306" s="386"/>
      <c r="F306" s="214"/>
      <c r="G306" s="214"/>
      <c r="H306" s="214" t="s">
        <v>191</v>
      </c>
      <c r="I306" s="28" t="s">
        <v>190</v>
      </c>
      <c r="J306" s="214">
        <v>255</v>
      </c>
      <c r="K306" s="214"/>
      <c r="L306" s="376"/>
      <c r="M306" s="376"/>
      <c r="N306" s="376"/>
      <c r="O306" s="377"/>
      <c r="P306" s="10"/>
    </row>
    <row r="307" spans="1:16" ht="24" x14ac:dyDescent="0.3">
      <c r="A307" s="9"/>
      <c r="B307" s="26">
        <v>7</v>
      </c>
      <c r="C307" s="27" t="s">
        <v>421</v>
      </c>
      <c r="D307" s="385"/>
      <c r="E307" s="386"/>
      <c r="F307" s="214"/>
      <c r="G307" s="214"/>
      <c r="H307" s="214" t="s">
        <v>191</v>
      </c>
      <c r="I307" s="28" t="s">
        <v>188</v>
      </c>
      <c r="J307" s="214"/>
      <c r="K307" s="214"/>
      <c r="L307" s="376" t="s">
        <v>422</v>
      </c>
      <c r="M307" s="376"/>
      <c r="N307" s="376"/>
      <c r="O307" s="377"/>
      <c r="P307" s="10"/>
    </row>
    <row r="308" spans="1:16" ht="25" thickBot="1" x14ac:dyDescent="0.35">
      <c r="A308" s="9"/>
      <c r="B308" s="29"/>
      <c r="C308" s="30"/>
      <c r="D308" s="381"/>
      <c r="E308" s="382"/>
      <c r="F308" s="215"/>
      <c r="G308" s="215"/>
      <c r="H308" s="215"/>
      <c r="I308" s="31"/>
      <c r="J308" s="215"/>
      <c r="K308" s="215"/>
      <c r="L308" s="383"/>
      <c r="M308" s="383"/>
      <c r="N308" s="383"/>
      <c r="O308" s="384"/>
      <c r="P308" s="10"/>
    </row>
    <row r="310" spans="1:16" ht="17" thickBot="1" x14ac:dyDescent="0.25"/>
    <row r="311" spans="1:16" ht="25" thickBot="1" x14ac:dyDescent="0.35">
      <c r="A311" s="9"/>
      <c r="B311" s="32" t="s">
        <v>39</v>
      </c>
      <c r="C311" s="3"/>
      <c r="D311" s="231" t="s">
        <v>423</v>
      </c>
      <c r="E311" s="33"/>
      <c r="F311" s="33"/>
      <c r="G311" s="33"/>
      <c r="H311" s="34"/>
      <c r="I311" s="3"/>
      <c r="J311" s="3"/>
      <c r="K311" s="3"/>
      <c r="L311" s="3"/>
      <c r="M311" s="3"/>
      <c r="N311" s="3"/>
      <c r="O311" s="44"/>
      <c r="P311" s="10"/>
    </row>
    <row r="312" spans="1:16" ht="17" thickBot="1" x14ac:dyDescent="0.25">
      <c r="A312" s="9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0"/>
    </row>
    <row r="313" spans="1:16" ht="24" x14ac:dyDescent="0.3">
      <c r="A313" s="9"/>
      <c r="B313" s="24" t="s">
        <v>0</v>
      </c>
      <c r="C313" s="25" t="s">
        <v>29</v>
      </c>
      <c r="D313" s="391" t="s">
        <v>30</v>
      </c>
      <c r="E313" s="392"/>
      <c r="F313" s="25" t="s">
        <v>31</v>
      </c>
      <c r="G313" s="25" t="s">
        <v>32</v>
      </c>
      <c r="H313" s="25" t="s">
        <v>33</v>
      </c>
      <c r="I313" s="25" t="s">
        <v>34</v>
      </c>
      <c r="J313" s="25" t="s">
        <v>35</v>
      </c>
      <c r="K313" s="25" t="s">
        <v>36</v>
      </c>
      <c r="L313" s="393" t="s">
        <v>37</v>
      </c>
      <c r="M313" s="393"/>
      <c r="N313" s="393"/>
      <c r="O313" s="394"/>
      <c r="P313" s="10"/>
    </row>
    <row r="314" spans="1:16" ht="24" x14ac:dyDescent="0.3">
      <c r="A314" s="9"/>
      <c r="B314" s="26">
        <v>1</v>
      </c>
      <c r="C314" s="27" t="s">
        <v>235</v>
      </c>
      <c r="D314" s="385"/>
      <c r="E314" s="386"/>
      <c r="F314" s="214"/>
      <c r="G314" s="214"/>
      <c r="H314" s="214" t="s">
        <v>191</v>
      </c>
      <c r="I314" s="28" t="s">
        <v>188</v>
      </c>
      <c r="J314" s="214"/>
      <c r="K314" s="214" t="s">
        <v>191</v>
      </c>
      <c r="L314" s="376" t="s">
        <v>424</v>
      </c>
      <c r="M314" s="376"/>
      <c r="N314" s="376"/>
      <c r="O314" s="377"/>
      <c r="P314" s="10"/>
    </row>
    <row r="315" spans="1:16" ht="24" x14ac:dyDescent="0.3">
      <c r="A315" s="9"/>
      <c r="B315" s="26">
        <v>2</v>
      </c>
      <c r="C315" s="27" t="s">
        <v>312</v>
      </c>
      <c r="D315" s="385"/>
      <c r="E315" s="386"/>
      <c r="F315" s="214"/>
      <c r="G315" s="214"/>
      <c r="H315" s="214" t="s">
        <v>191</v>
      </c>
      <c r="I315" s="28" t="s">
        <v>188</v>
      </c>
      <c r="J315" s="214"/>
      <c r="K315" s="214"/>
      <c r="L315" s="376" t="s">
        <v>442</v>
      </c>
      <c r="M315" s="376"/>
      <c r="N315" s="376"/>
      <c r="O315" s="377"/>
      <c r="P315" s="10"/>
    </row>
    <row r="316" spans="1:16" ht="24" x14ac:dyDescent="0.2">
      <c r="A316" s="9"/>
      <c r="B316" s="234">
        <v>3</v>
      </c>
      <c r="C316" s="28" t="s">
        <v>426</v>
      </c>
      <c r="D316" s="395"/>
      <c r="E316" s="396"/>
      <c r="F316" s="214"/>
      <c r="G316" s="214"/>
      <c r="H316" s="214" t="s">
        <v>191</v>
      </c>
      <c r="I316" s="28" t="s">
        <v>190</v>
      </c>
      <c r="J316" s="214">
        <v>20</v>
      </c>
      <c r="K316" s="214"/>
      <c r="L316" s="390"/>
      <c r="M316" s="376"/>
      <c r="N316" s="376"/>
      <c r="O316" s="377"/>
      <c r="P316" s="10"/>
    </row>
    <row r="317" spans="1:16" ht="24" x14ac:dyDescent="0.3">
      <c r="A317" s="9"/>
      <c r="B317" s="26">
        <v>4</v>
      </c>
      <c r="C317" s="27" t="s">
        <v>425</v>
      </c>
      <c r="D317" s="385"/>
      <c r="E317" s="386"/>
      <c r="F317" s="214"/>
      <c r="G317" s="214"/>
      <c r="H317" s="214" t="s">
        <v>191</v>
      </c>
      <c r="I317" s="28" t="s">
        <v>188</v>
      </c>
      <c r="J317" s="214"/>
      <c r="K317" s="214"/>
      <c r="L317" s="376"/>
      <c r="M317" s="376"/>
      <c r="N317" s="376"/>
      <c r="O317" s="377"/>
      <c r="P317" s="10"/>
    </row>
    <row r="318" spans="1:16" ht="24" x14ac:dyDescent="0.3">
      <c r="A318" s="9"/>
      <c r="B318" s="26">
        <v>5</v>
      </c>
      <c r="C318" s="27" t="s">
        <v>427</v>
      </c>
      <c r="D318" s="385"/>
      <c r="E318" s="386"/>
      <c r="F318" s="214"/>
      <c r="G318" s="214"/>
      <c r="H318" s="214" t="s">
        <v>191</v>
      </c>
      <c r="I318" s="28" t="s">
        <v>190</v>
      </c>
      <c r="J318" s="214">
        <v>20</v>
      </c>
      <c r="K318" s="214"/>
      <c r="L318" s="376"/>
      <c r="M318" s="376"/>
      <c r="N318" s="376"/>
      <c r="O318" s="377"/>
      <c r="P318" s="10"/>
    </row>
    <row r="319" spans="1:16" ht="25" thickBot="1" x14ac:dyDescent="0.35">
      <c r="A319" s="9"/>
      <c r="B319" s="29"/>
      <c r="C319" s="30"/>
      <c r="D319" s="381"/>
      <c r="E319" s="382"/>
      <c r="F319" s="215"/>
      <c r="G319" s="215"/>
      <c r="H319" s="215"/>
      <c r="I319" s="31"/>
      <c r="J319" s="215"/>
      <c r="K319" s="215"/>
      <c r="L319" s="383"/>
      <c r="M319" s="383"/>
      <c r="N319" s="383"/>
      <c r="O319" s="384"/>
      <c r="P319" s="10"/>
    </row>
    <row r="321" spans="1:16" ht="17" thickBot="1" x14ac:dyDescent="0.25"/>
    <row r="322" spans="1:16" s="268" customFormat="1" ht="25" thickBot="1" x14ac:dyDescent="0.35">
      <c r="A322" s="260"/>
      <c r="B322" s="269" t="s">
        <v>39</v>
      </c>
      <c r="C322" s="270"/>
      <c r="D322" s="271" t="s">
        <v>429</v>
      </c>
      <c r="E322" s="272"/>
      <c r="F322" s="272"/>
      <c r="G322" s="272"/>
      <c r="H322" s="273"/>
      <c r="I322" s="270"/>
      <c r="J322" s="270"/>
      <c r="K322" s="270"/>
      <c r="L322" s="270"/>
      <c r="M322" s="270"/>
      <c r="N322" s="270"/>
      <c r="O322" s="274"/>
      <c r="P322" s="267"/>
    </row>
    <row r="323" spans="1:16" s="268" customFormat="1" ht="17" thickBot="1" x14ac:dyDescent="0.25">
      <c r="A323" s="26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67"/>
    </row>
    <row r="324" spans="1:16" s="268" customFormat="1" ht="24" x14ac:dyDescent="0.3">
      <c r="A324" s="260"/>
      <c r="B324" s="275" t="s">
        <v>0</v>
      </c>
      <c r="C324" s="276" t="s">
        <v>29</v>
      </c>
      <c r="D324" s="361" t="s">
        <v>30</v>
      </c>
      <c r="E324" s="362"/>
      <c r="F324" s="276" t="s">
        <v>31</v>
      </c>
      <c r="G324" s="276" t="s">
        <v>32</v>
      </c>
      <c r="H324" s="276" t="s">
        <v>33</v>
      </c>
      <c r="I324" s="276" t="s">
        <v>34</v>
      </c>
      <c r="J324" s="276" t="s">
        <v>35</v>
      </c>
      <c r="K324" s="276" t="s">
        <v>36</v>
      </c>
      <c r="L324" s="363" t="s">
        <v>37</v>
      </c>
      <c r="M324" s="363"/>
      <c r="N324" s="363"/>
      <c r="O324" s="364"/>
      <c r="P324" s="267"/>
    </row>
    <row r="325" spans="1:16" s="268" customFormat="1" ht="24" x14ac:dyDescent="0.2">
      <c r="A325" s="260"/>
      <c r="B325" s="277">
        <v>1</v>
      </c>
      <c r="C325" s="278" t="s">
        <v>430</v>
      </c>
      <c r="D325" s="365" t="s">
        <v>431</v>
      </c>
      <c r="E325" s="366"/>
      <c r="F325" s="265"/>
      <c r="G325" s="265"/>
      <c r="H325" s="265" t="s">
        <v>191</v>
      </c>
      <c r="I325" s="266" t="s">
        <v>190</v>
      </c>
      <c r="J325" s="265">
        <v>255</v>
      </c>
      <c r="K325" s="265"/>
      <c r="L325" s="367" t="s">
        <v>432</v>
      </c>
      <c r="M325" s="368"/>
      <c r="N325" s="368"/>
      <c r="O325" s="369"/>
      <c r="P325" s="267"/>
    </row>
    <row r="326" spans="1:16" s="268" customFormat="1" ht="24" x14ac:dyDescent="0.3">
      <c r="A326" s="260"/>
      <c r="B326" s="279">
        <v>2</v>
      </c>
      <c r="C326" s="280" t="s">
        <v>245</v>
      </c>
      <c r="D326" s="281" t="s">
        <v>245</v>
      </c>
      <c r="E326" s="282"/>
      <c r="F326" s="283"/>
      <c r="G326" s="283"/>
      <c r="H326" s="283"/>
      <c r="I326" s="266" t="s">
        <v>190</v>
      </c>
      <c r="J326" s="283">
        <v>255</v>
      </c>
      <c r="K326" s="283"/>
      <c r="L326" s="367"/>
      <c r="M326" s="368"/>
      <c r="N326" s="368"/>
      <c r="O326" s="369"/>
      <c r="P326" s="267"/>
    </row>
    <row r="327" spans="1:16" s="268" customFormat="1" ht="25" thickBot="1" x14ac:dyDescent="0.35">
      <c r="A327" s="260"/>
      <c r="B327" s="284"/>
      <c r="C327" s="285"/>
      <c r="D327" s="370"/>
      <c r="E327" s="371"/>
      <c r="F327" s="286"/>
      <c r="G327" s="286"/>
      <c r="H327" s="286"/>
      <c r="I327" s="287"/>
      <c r="J327" s="286"/>
      <c r="K327" s="286"/>
      <c r="L327" s="372"/>
      <c r="M327" s="372"/>
      <c r="N327" s="372"/>
      <c r="O327" s="373"/>
      <c r="P327" s="267"/>
    </row>
    <row r="329" spans="1:16" ht="17" thickBot="1" x14ac:dyDescent="0.25"/>
    <row r="330" spans="1:16" s="268" customFormat="1" ht="25" thickBot="1" x14ac:dyDescent="0.35">
      <c r="A330" s="260"/>
      <c r="B330" s="269" t="s">
        <v>39</v>
      </c>
      <c r="C330" s="270"/>
      <c r="D330" s="271" t="s">
        <v>443</v>
      </c>
      <c r="E330" s="272"/>
      <c r="F330" s="272"/>
      <c r="G330" s="272"/>
      <c r="H330" s="273"/>
      <c r="I330" s="270"/>
      <c r="J330" s="270"/>
      <c r="K330" s="270"/>
      <c r="L330" s="270"/>
      <c r="M330" s="270"/>
      <c r="N330" s="270"/>
      <c r="O330" s="274"/>
      <c r="P330" s="267"/>
    </row>
    <row r="331" spans="1:16" s="268" customFormat="1" ht="17" thickBot="1" x14ac:dyDescent="0.25">
      <c r="A331" s="26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67"/>
    </row>
    <row r="332" spans="1:16" s="268" customFormat="1" ht="24" x14ac:dyDescent="0.3">
      <c r="A332" s="260"/>
      <c r="B332" s="275" t="s">
        <v>0</v>
      </c>
      <c r="C332" s="276" t="s">
        <v>29</v>
      </c>
      <c r="D332" s="361" t="s">
        <v>30</v>
      </c>
      <c r="E332" s="362"/>
      <c r="F332" s="276" t="s">
        <v>31</v>
      </c>
      <c r="G332" s="276" t="s">
        <v>32</v>
      </c>
      <c r="H332" s="276" t="s">
        <v>33</v>
      </c>
      <c r="I332" s="276" t="s">
        <v>34</v>
      </c>
      <c r="J332" s="276" t="s">
        <v>35</v>
      </c>
      <c r="K332" s="276" t="s">
        <v>36</v>
      </c>
      <c r="L332" s="363" t="s">
        <v>37</v>
      </c>
      <c r="M332" s="363"/>
      <c r="N332" s="363"/>
      <c r="O332" s="364"/>
      <c r="P332" s="267"/>
    </row>
    <row r="333" spans="1:16" s="268" customFormat="1" ht="24" x14ac:dyDescent="0.3">
      <c r="A333" s="260"/>
      <c r="B333" s="261">
        <v>1</v>
      </c>
      <c r="C333" s="262" t="s">
        <v>444</v>
      </c>
      <c r="D333" s="374" t="s">
        <v>218</v>
      </c>
      <c r="E333" s="375"/>
      <c r="F333" s="265"/>
      <c r="G333" s="265"/>
      <c r="H333" s="265" t="s">
        <v>191</v>
      </c>
      <c r="I333" s="288" t="s">
        <v>188</v>
      </c>
      <c r="J333" s="265"/>
      <c r="K333" s="265" t="s">
        <v>191</v>
      </c>
      <c r="L333" s="368"/>
      <c r="M333" s="368"/>
      <c r="N333" s="368"/>
      <c r="O333" s="369"/>
      <c r="P333" s="267"/>
    </row>
    <row r="334" spans="1:16" s="268" customFormat="1" ht="24" x14ac:dyDescent="0.2">
      <c r="A334" s="260"/>
      <c r="B334" s="277">
        <v>2</v>
      </c>
      <c r="C334" s="288" t="s">
        <v>445</v>
      </c>
      <c r="D334" s="365" t="s">
        <v>446</v>
      </c>
      <c r="E334" s="366"/>
      <c r="F334" s="265"/>
      <c r="G334" s="265"/>
      <c r="H334" s="265" t="s">
        <v>191</v>
      </c>
      <c r="I334" s="288" t="s">
        <v>188</v>
      </c>
      <c r="J334" s="265"/>
      <c r="K334" s="265"/>
      <c r="L334" s="367"/>
      <c r="M334" s="368"/>
      <c r="N334" s="368"/>
      <c r="O334" s="369"/>
      <c r="P334" s="267"/>
    </row>
    <row r="335" spans="1:16" s="268" customFormat="1" ht="25" thickBot="1" x14ac:dyDescent="0.35">
      <c r="A335" s="260"/>
      <c r="B335" s="284"/>
      <c r="C335" s="285"/>
      <c r="D335" s="370"/>
      <c r="E335" s="371"/>
      <c r="F335" s="286"/>
      <c r="G335" s="286"/>
      <c r="H335" s="286"/>
      <c r="I335" s="287"/>
      <c r="J335" s="286"/>
      <c r="K335" s="286"/>
      <c r="L335" s="372"/>
      <c r="M335" s="372"/>
      <c r="N335" s="372"/>
      <c r="O335" s="373"/>
      <c r="P335" s="267"/>
    </row>
  </sheetData>
  <mergeCells count="374">
    <mergeCell ref="D335:E335"/>
    <mergeCell ref="L335:O335"/>
    <mergeCell ref="D107:E107"/>
    <mergeCell ref="L107:O107"/>
    <mergeCell ref="L109:O109"/>
    <mergeCell ref="D332:E332"/>
    <mergeCell ref="L332:O332"/>
    <mergeCell ref="D333:E333"/>
    <mergeCell ref="L333:O333"/>
    <mergeCell ref="D334:E334"/>
    <mergeCell ref="L334:O334"/>
    <mergeCell ref="D318:E318"/>
    <mergeCell ref="L318:O318"/>
    <mergeCell ref="D319:E319"/>
    <mergeCell ref="L319:O319"/>
    <mergeCell ref="D313:E313"/>
    <mergeCell ref="L313:O313"/>
    <mergeCell ref="D314:E314"/>
    <mergeCell ref="L314:O314"/>
    <mergeCell ref="D315:E315"/>
    <mergeCell ref="L315:O315"/>
    <mergeCell ref="D316:E316"/>
    <mergeCell ref="L316:O316"/>
    <mergeCell ref="D317:E317"/>
    <mergeCell ref="L317:O317"/>
    <mergeCell ref="D305:E305"/>
    <mergeCell ref="L305:O305"/>
    <mergeCell ref="D308:E308"/>
    <mergeCell ref="L308:O308"/>
    <mergeCell ref="D306:E306"/>
    <mergeCell ref="L306:O306"/>
    <mergeCell ref="D307:E307"/>
    <mergeCell ref="L307:O307"/>
    <mergeCell ref="D300:E300"/>
    <mergeCell ref="L300:O300"/>
    <mergeCell ref="D301:E301"/>
    <mergeCell ref="L301:O301"/>
    <mergeCell ref="D302:E302"/>
    <mergeCell ref="L302:O302"/>
    <mergeCell ref="D303:E303"/>
    <mergeCell ref="L303:O303"/>
    <mergeCell ref="D304:E304"/>
    <mergeCell ref="L304:O304"/>
    <mergeCell ref="D104:E104"/>
    <mergeCell ref="L104:O104"/>
    <mergeCell ref="D105:E105"/>
    <mergeCell ref="L105:O105"/>
    <mergeCell ref="D106:E106"/>
    <mergeCell ref="L106:O106"/>
    <mergeCell ref="L108:O108"/>
    <mergeCell ref="D110:E110"/>
    <mergeCell ref="L110:O110"/>
    <mergeCell ref="D292:E292"/>
    <mergeCell ref="L292:O292"/>
    <mergeCell ref="D293:E293"/>
    <mergeCell ref="L293:O293"/>
    <mergeCell ref="D287:E287"/>
    <mergeCell ref="L287:O287"/>
    <mergeCell ref="D288:E288"/>
    <mergeCell ref="L288:O288"/>
    <mergeCell ref="D289:E289"/>
    <mergeCell ref="L289:O289"/>
    <mergeCell ref="D290:E290"/>
    <mergeCell ref="L290:O290"/>
    <mergeCell ref="D291:E291"/>
    <mergeCell ref="L291:O291"/>
    <mergeCell ref="D278:E278"/>
    <mergeCell ref="L278:O278"/>
    <mergeCell ref="D279:E279"/>
    <mergeCell ref="L279:O279"/>
    <mergeCell ref="D280:E280"/>
    <mergeCell ref="L280:O280"/>
    <mergeCell ref="L281:O281"/>
    <mergeCell ref="D282:E282"/>
    <mergeCell ref="L282:O282"/>
    <mergeCell ref="D281:E281"/>
    <mergeCell ref="D269:E269"/>
    <mergeCell ref="L269:O269"/>
    <mergeCell ref="D270:E270"/>
    <mergeCell ref="L270:O270"/>
    <mergeCell ref="D271:E271"/>
    <mergeCell ref="L271:O271"/>
    <mergeCell ref="L272:O272"/>
    <mergeCell ref="D273:E273"/>
    <mergeCell ref="L273:O273"/>
    <mergeCell ref="D260:E260"/>
    <mergeCell ref="L260:O260"/>
    <mergeCell ref="D261:E261"/>
    <mergeCell ref="L261:O261"/>
    <mergeCell ref="D262:E262"/>
    <mergeCell ref="L262:O262"/>
    <mergeCell ref="L263:O263"/>
    <mergeCell ref="D264:E264"/>
    <mergeCell ref="L264:O264"/>
    <mergeCell ref="D263:E263"/>
    <mergeCell ref="D204:E204"/>
    <mergeCell ref="L204:O204"/>
    <mergeCell ref="D205:E205"/>
    <mergeCell ref="L205:O205"/>
    <mergeCell ref="L214:O214"/>
    <mergeCell ref="D215:E215"/>
    <mergeCell ref="L215:O215"/>
    <mergeCell ref="D207:E207"/>
    <mergeCell ref="L207:O207"/>
    <mergeCell ref="L206:O206"/>
    <mergeCell ref="D212:E212"/>
    <mergeCell ref="L212:O212"/>
    <mergeCell ref="D213:E213"/>
    <mergeCell ref="L213:O213"/>
    <mergeCell ref="D156:E156"/>
    <mergeCell ref="L156:O156"/>
    <mergeCell ref="D157:E157"/>
    <mergeCell ref="L157:O157"/>
    <mergeCell ref="D197:E197"/>
    <mergeCell ref="L197:O197"/>
    <mergeCell ref="D198:E198"/>
    <mergeCell ref="L198:O198"/>
    <mergeCell ref="D203:E203"/>
    <mergeCell ref="L203:O203"/>
    <mergeCell ref="D194:E194"/>
    <mergeCell ref="L194:O194"/>
    <mergeCell ref="D195:E195"/>
    <mergeCell ref="L195:O195"/>
    <mergeCell ref="D187:E187"/>
    <mergeCell ref="L187:O187"/>
    <mergeCell ref="D188:E188"/>
    <mergeCell ref="L188:O188"/>
    <mergeCell ref="D185:E185"/>
    <mergeCell ref="L185:O185"/>
    <mergeCell ref="D186:E186"/>
    <mergeCell ref="L186:O186"/>
    <mergeCell ref="D178:E178"/>
    <mergeCell ref="L178:O178"/>
    <mergeCell ref="L179:O179"/>
    <mergeCell ref="D180:E180"/>
    <mergeCell ref="L180:O180"/>
    <mergeCell ref="D171:E171"/>
    <mergeCell ref="L171:O171"/>
    <mergeCell ref="L170:O170"/>
    <mergeCell ref="L159:O159"/>
    <mergeCell ref="D176:E176"/>
    <mergeCell ref="L176:O176"/>
    <mergeCell ref="D177:E177"/>
    <mergeCell ref="L177:O177"/>
    <mergeCell ref="D168:E168"/>
    <mergeCell ref="L168:O168"/>
    <mergeCell ref="D169:E169"/>
    <mergeCell ref="L169:O169"/>
    <mergeCell ref="D162:E162"/>
    <mergeCell ref="L162:O162"/>
    <mergeCell ref="L161:O161"/>
    <mergeCell ref="D161:E161"/>
    <mergeCell ref="D167:E167"/>
    <mergeCell ref="L167:O167"/>
    <mergeCell ref="D158:E158"/>
    <mergeCell ref="L158:O158"/>
    <mergeCell ref="D160:E160"/>
    <mergeCell ref="L160:O160"/>
    <mergeCell ref="D29:E29"/>
    <mergeCell ref="D30:E30"/>
    <mergeCell ref="D31:E31"/>
    <mergeCell ref="D32:E32"/>
    <mergeCell ref="D33:E33"/>
    <mergeCell ref="D34:E34"/>
    <mergeCell ref="D35:E35"/>
    <mergeCell ref="D40:E40"/>
    <mergeCell ref="D41:E41"/>
    <mergeCell ref="L33:O33"/>
    <mergeCell ref="L34:O34"/>
    <mergeCell ref="L35:O35"/>
    <mergeCell ref="L40:O40"/>
    <mergeCell ref="L41:O41"/>
    <mergeCell ref="L29:O29"/>
    <mergeCell ref="L30:O30"/>
    <mergeCell ref="L31:O31"/>
    <mergeCell ref="L32:O32"/>
    <mergeCell ref="D52:E52"/>
    <mergeCell ref="L52:O52"/>
    <mergeCell ref="D18:E18"/>
    <mergeCell ref="D19:E19"/>
    <mergeCell ref="D20:E20"/>
    <mergeCell ref="D21:E21"/>
    <mergeCell ref="D22:E22"/>
    <mergeCell ref="D23:E23"/>
    <mergeCell ref="L18:O18"/>
    <mergeCell ref="L19:O19"/>
    <mergeCell ref="L20:O20"/>
    <mergeCell ref="L21:O21"/>
    <mergeCell ref="L22:O22"/>
    <mergeCell ref="L23:O23"/>
    <mergeCell ref="A1:B2"/>
    <mergeCell ref="C1:M2"/>
    <mergeCell ref="O1:P1"/>
    <mergeCell ref="O2:P2"/>
    <mergeCell ref="L17:O17"/>
    <mergeCell ref="D9:E9"/>
    <mergeCell ref="L9:O9"/>
    <mergeCell ref="D10:E10"/>
    <mergeCell ref="L10:O10"/>
    <mergeCell ref="D11:E11"/>
    <mergeCell ref="L11:O11"/>
    <mergeCell ref="D12:E12"/>
    <mergeCell ref="L12:O12"/>
    <mergeCell ref="D8:E8"/>
    <mergeCell ref="D17:E17"/>
    <mergeCell ref="L8:O8"/>
    <mergeCell ref="D53:E53"/>
    <mergeCell ref="L53:O53"/>
    <mergeCell ref="L42:O42"/>
    <mergeCell ref="L43:O43"/>
    <mergeCell ref="L44:O44"/>
    <mergeCell ref="L45:O45"/>
    <mergeCell ref="L47:O47"/>
    <mergeCell ref="L46:O46"/>
    <mergeCell ref="D42:E42"/>
    <mergeCell ref="D43:E43"/>
    <mergeCell ref="D44:E44"/>
    <mergeCell ref="D45:E45"/>
    <mergeCell ref="D47:E47"/>
    <mergeCell ref="D62:E62"/>
    <mergeCell ref="L62:O62"/>
    <mergeCell ref="L67:O67"/>
    <mergeCell ref="L69:O69"/>
    <mergeCell ref="D58:E58"/>
    <mergeCell ref="L58:O58"/>
    <mergeCell ref="D59:E59"/>
    <mergeCell ref="L59:O59"/>
    <mergeCell ref="D61:E61"/>
    <mergeCell ref="L61:O61"/>
    <mergeCell ref="D81:E81"/>
    <mergeCell ref="L81:O81"/>
    <mergeCell ref="L82:O82"/>
    <mergeCell ref="L83:O83"/>
    <mergeCell ref="D82:E82"/>
    <mergeCell ref="D83:E83"/>
    <mergeCell ref="L54:O54"/>
    <mergeCell ref="L71:O72"/>
    <mergeCell ref="D79:E79"/>
    <mergeCell ref="L79:O79"/>
    <mergeCell ref="D80:E80"/>
    <mergeCell ref="L80:O80"/>
    <mergeCell ref="D68:E68"/>
    <mergeCell ref="L68:O68"/>
    <mergeCell ref="D74:E74"/>
    <mergeCell ref="L74:O74"/>
    <mergeCell ref="L55:O55"/>
    <mergeCell ref="L56:O57"/>
    <mergeCell ref="D73:E73"/>
    <mergeCell ref="L73:O73"/>
    <mergeCell ref="D67:E67"/>
    <mergeCell ref="D69:E69"/>
    <mergeCell ref="D70:E70"/>
    <mergeCell ref="L70:O70"/>
    <mergeCell ref="D88:E88"/>
    <mergeCell ref="L88:O88"/>
    <mergeCell ref="L84:O84"/>
    <mergeCell ref="L85:O85"/>
    <mergeCell ref="D93:E93"/>
    <mergeCell ref="L93:O93"/>
    <mergeCell ref="D84:E84"/>
    <mergeCell ref="D85:E85"/>
    <mergeCell ref="D86:E86"/>
    <mergeCell ref="L86:O86"/>
    <mergeCell ref="D87:E87"/>
    <mergeCell ref="L87:O87"/>
    <mergeCell ref="L97:O97"/>
    <mergeCell ref="L98:O98"/>
    <mergeCell ref="D97:E97"/>
    <mergeCell ref="D98:E98"/>
    <mergeCell ref="D94:E94"/>
    <mergeCell ref="L94:O94"/>
    <mergeCell ref="D95:E95"/>
    <mergeCell ref="L95:O95"/>
    <mergeCell ref="L96:O96"/>
    <mergeCell ref="D96:E96"/>
    <mergeCell ref="D135:E135"/>
    <mergeCell ref="L135:O135"/>
    <mergeCell ref="D138:E138"/>
    <mergeCell ref="L138:O138"/>
    <mergeCell ref="D136:E136"/>
    <mergeCell ref="L136:O136"/>
    <mergeCell ref="D137:E137"/>
    <mergeCell ref="L137:O137"/>
    <mergeCell ref="D99:E99"/>
    <mergeCell ref="L99:O99"/>
    <mergeCell ref="D115:E115"/>
    <mergeCell ref="L115:O115"/>
    <mergeCell ref="D116:E116"/>
    <mergeCell ref="L116:O116"/>
    <mergeCell ref="D117:E117"/>
    <mergeCell ref="L117:O117"/>
    <mergeCell ref="D119:E119"/>
    <mergeCell ref="L119:O119"/>
    <mergeCell ref="L118:O118"/>
    <mergeCell ref="D123:E123"/>
    <mergeCell ref="L123:O123"/>
    <mergeCell ref="D124:E124"/>
    <mergeCell ref="L124:O124"/>
    <mergeCell ref="D125:E125"/>
    <mergeCell ref="D150:E150"/>
    <mergeCell ref="L150:O150"/>
    <mergeCell ref="D144:E144"/>
    <mergeCell ref="L144:O144"/>
    <mergeCell ref="D146:E146"/>
    <mergeCell ref="L146:O146"/>
    <mergeCell ref="L149:O149"/>
    <mergeCell ref="D139:E139"/>
    <mergeCell ref="L139:O139"/>
    <mergeCell ref="D147:E147"/>
    <mergeCell ref="L147:O147"/>
    <mergeCell ref="D148:E148"/>
    <mergeCell ref="L148:O148"/>
    <mergeCell ref="L140:O140"/>
    <mergeCell ref="L141:O141"/>
    <mergeCell ref="L142:O142"/>
    <mergeCell ref="L143:O143"/>
    <mergeCell ref="D140:E140"/>
    <mergeCell ref="D141:E141"/>
    <mergeCell ref="D142:E142"/>
    <mergeCell ref="D149:E149"/>
    <mergeCell ref="D143:E143"/>
    <mergeCell ref="D247:E247"/>
    <mergeCell ref="L247:O247"/>
    <mergeCell ref="D252:E252"/>
    <mergeCell ref="L252:O252"/>
    <mergeCell ref="D253:E253"/>
    <mergeCell ref="L253:O253"/>
    <mergeCell ref="L254:O254"/>
    <mergeCell ref="D255:E255"/>
    <mergeCell ref="L255:O255"/>
    <mergeCell ref="D244:E244"/>
    <mergeCell ref="L244:O244"/>
    <mergeCell ref="D245:E245"/>
    <mergeCell ref="L245:O245"/>
    <mergeCell ref="D220:E220"/>
    <mergeCell ref="L220:O220"/>
    <mergeCell ref="D221:E221"/>
    <mergeCell ref="L221:O221"/>
    <mergeCell ref="L222:O222"/>
    <mergeCell ref="D223:E223"/>
    <mergeCell ref="L223:O223"/>
    <mergeCell ref="D236:E236"/>
    <mergeCell ref="L236:O236"/>
    <mergeCell ref="D228:E228"/>
    <mergeCell ref="L228:O228"/>
    <mergeCell ref="D229:E229"/>
    <mergeCell ref="L229:O229"/>
    <mergeCell ref="L230:O230"/>
    <mergeCell ref="D231:E231"/>
    <mergeCell ref="L231:O231"/>
    <mergeCell ref="D324:E324"/>
    <mergeCell ref="L324:O324"/>
    <mergeCell ref="D325:E325"/>
    <mergeCell ref="L325:O325"/>
    <mergeCell ref="L326:O326"/>
    <mergeCell ref="D327:E327"/>
    <mergeCell ref="L327:O327"/>
    <mergeCell ref="L196:O196"/>
    <mergeCell ref="D60:E60"/>
    <mergeCell ref="L60:O60"/>
    <mergeCell ref="L125:O125"/>
    <mergeCell ref="L126:O126"/>
    <mergeCell ref="D130:E130"/>
    <mergeCell ref="L130:O130"/>
    <mergeCell ref="L127:O127"/>
    <mergeCell ref="D128:E128"/>
    <mergeCell ref="L128:O128"/>
    <mergeCell ref="L129:O129"/>
    <mergeCell ref="L246:O246"/>
    <mergeCell ref="D237:E237"/>
    <mergeCell ref="L237:O237"/>
    <mergeCell ref="L238:O238"/>
    <mergeCell ref="D239:E239"/>
    <mergeCell ref="L239:O239"/>
  </mergeCells>
  <printOptions horizontalCentered="1"/>
  <pageMargins left="0.25" right="0.25" top="0.75" bottom="0.75" header="0.3" footer="0.3"/>
  <pageSetup paperSize="9" scale="35" fitToHeight="7" orientation="portrait" horizontalDpi="0" verticalDpi="0"/>
  <rowBreaks count="3" manualBreakCount="3">
    <brk id="89" max="15" man="1"/>
    <brk id="181" max="15" man="1"/>
    <brk id="27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Cover</vt:lpstr>
      <vt:lpstr>Customer Requirement</vt:lpstr>
      <vt:lpstr>Schedule</vt:lpstr>
      <vt:lpstr>By person</vt:lpstr>
      <vt:lpstr>Coin &amp; Order Flow</vt:lpstr>
      <vt:lpstr>Project Flow_Admin</vt:lpstr>
      <vt:lpstr>Project Flow_Customer</vt:lpstr>
      <vt:lpstr>Project Flow_Kitchen</vt:lpstr>
      <vt:lpstr>Screen Design</vt:lpstr>
      <vt:lpstr>Code Rule</vt:lpstr>
      <vt:lpstr>DB Design</vt:lpstr>
      <vt:lpstr>'Coin &amp; Order Flow'!Print_Area</vt:lpstr>
      <vt:lpstr>Cover!Print_Area</vt:lpstr>
      <vt:lpstr>'DB Design'!Print_Area</vt:lpstr>
      <vt:lpstr>'Project Flow_Admin'!Print_Area</vt:lpstr>
      <vt:lpstr>'Project Flow_Customer'!Print_Area</vt:lpstr>
      <vt:lpstr>'Project Flow_Kitchen'!Print_Area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Linn Ko Ko</cp:lastModifiedBy>
  <cp:lastPrinted>2022-01-09T03:30:14Z</cp:lastPrinted>
  <dcterms:created xsi:type="dcterms:W3CDTF">2021-11-01T05:45:47Z</dcterms:created>
  <dcterms:modified xsi:type="dcterms:W3CDTF">2022-04-11T11:03:44Z</dcterms:modified>
</cp:coreProperties>
</file>