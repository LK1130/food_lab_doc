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nnkoko/Desktop/Project/Food_Lab/Git/food_lab/02.Design Document/"/>
    </mc:Choice>
  </mc:AlternateContent>
  <xr:revisionPtr revIDLastSave="0" documentId="13_ncr:1_{FF12CBB9-6667-5B47-B8D6-6770F9FE07A3}" xr6:coauthVersionLast="47" xr6:coauthVersionMax="47" xr10:uidLastSave="{00000000-0000-0000-0000-000000000000}"/>
  <bookViews>
    <workbookView xWindow="700" yWindow="500" windowWidth="35860" windowHeight="20300" activeTab="2" xr2:uid="{7BA0B221-245C-954E-96F6-3D960DADD312}"/>
  </bookViews>
  <sheets>
    <sheet name="Cover" sheetId="3" r:id="rId1"/>
    <sheet name="Customer Requirement" sheetId="9" r:id="rId2"/>
    <sheet name="Schedule" sheetId="1" r:id="rId3"/>
    <sheet name="By person" sheetId="13" r:id="rId4"/>
    <sheet name="Coin &amp; Order Flow" sheetId="12" r:id="rId5"/>
    <sheet name="Project Flow_Admin" sheetId="2" r:id="rId6"/>
    <sheet name="Project Flow_Customer" sheetId="11" r:id="rId7"/>
    <sheet name="Project Flow_Kitchen" sheetId="10" r:id="rId8"/>
    <sheet name="Screen Design" sheetId="4" r:id="rId9"/>
    <sheet name="Code Rule" sheetId="15" r:id="rId10"/>
    <sheet name="DB Design" sheetId="6" r:id="rId11"/>
  </sheets>
  <definedNames>
    <definedName name="_xlnm.Print_Area" localSheetId="4">'Coin &amp; Order Flow'!$A$1:$U$57</definedName>
    <definedName name="_xlnm.Print_Area" localSheetId="0">Cover!$A$1:$N$66</definedName>
    <definedName name="_xlnm.Print_Area" localSheetId="10">'DB Design'!$A$1:$P$325</definedName>
    <definedName name="_xlnm.Print_Area" localSheetId="5">'Project Flow_Admin'!$A$1:$Q$291</definedName>
    <definedName name="_xlnm.Print_Area" localSheetId="6">'Project Flow_Customer'!$A$1:$T$305</definedName>
    <definedName name="_xlnm.Print_Area" localSheetId="7">'Project Flow_Kitchen'!$A$1:$U$95</definedName>
    <definedName name="_xlnm.Print_Area" localSheetId="2">Schedule!$A$1:$O$42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5" i="1" l="1"/>
  <c r="P2" i="15"/>
  <c r="C1" i="15"/>
  <c r="AK2" i="13"/>
  <c r="C1" i="13"/>
  <c r="L25" i="1"/>
  <c r="L24" i="1"/>
  <c r="L23" i="1"/>
  <c r="L22" i="1"/>
  <c r="L21" i="1"/>
  <c r="I25" i="1"/>
  <c r="I24" i="1"/>
  <c r="I23" i="1"/>
  <c r="I22" i="1"/>
  <c r="I21" i="1"/>
  <c r="I20" i="1"/>
  <c r="I19" i="1"/>
  <c r="L20" i="1"/>
  <c r="L19" i="1"/>
  <c r="L18" i="1"/>
  <c r="I18" i="1"/>
  <c r="L17" i="1"/>
  <c r="I17" i="1"/>
  <c r="L16" i="1"/>
  <c r="I16" i="1"/>
  <c r="T2" i="12"/>
  <c r="C1" i="12"/>
  <c r="S2" i="11"/>
  <c r="C1" i="11"/>
  <c r="T2" i="10"/>
  <c r="C1" i="10"/>
  <c r="M64" i="3"/>
  <c r="O2" i="6"/>
  <c r="P2" i="4"/>
  <c r="P2" i="2"/>
  <c r="P2" i="9"/>
  <c r="N2" i="1"/>
  <c r="L30" i="1"/>
  <c r="L29" i="1"/>
  <c r="L28" i="1"/>
  <c r="I30" i="1"/>
  <c r="I29" i="1"/>
  <c r="I28" i="1"/>
  <c r="C1" i="9" l="1"/>
  <c r="C1" i="6"/>
  <c r="C1" i="4"/>
  <c r="C1" i="2"/>
  <c r="C1" i="1"/>
  <c r="L6" i="1"/>
  <c r="L7" i="1"/>
  <c r="L8" i="1"/>
  <c r="L9" i="1"/>
  <c r="L10" i="1"/>
  <c r="L11" i="1"/>
  <c r="L12" i="1"/>
  <c r="L13" i="1"/>
  <c r="L14" i="1"/>
  <c r="L15" i="1"/>
  <c r="L26" i="1"/>
  <c r="L27" i="1"/>
  <c r="L5" i="1"/>
  <c r="I6" i="1"/>
  <c r="I7" i="1"/>
  <c r="I8" i="1"/>
  <c r="I9" i="1"/>
  <c r="I10" i="1"/>
  <c r="I11" i="1"/>
  <c r="I12" i="1"/>
  <c r="I13" i="1"/>
  <c r="I14" i="1"/>
  <c r="I15" i="1"/>
  <c r="I26" i="1"/>
  <c r="I27" i="1"/>
  <c r="I31" i="1" l="1"/>
  <c r="I32" i="1" s="1"/>
</calcChain>
</file>

<file path=xl/sharedStrings.xml><?xml version="1.0" encoding="utf-8"?>
<sst xmlns="http://schemas.openxmlformats.org/spreadsheetml/2006/main" count="1183" uniqueCount="431">
  <si>
    <t>No</t>
  </si>
  <si>
    <t>Sub</t>
  </si>
  <si>
    <t>Task</t>
  </si>
  <si>
    <t>Assign</t>
  </si>
  <si>
    <t>Est Start</t>
  </si>
  <si>
    <t>Est End</t>
  </si>
  <si>
    <t>Duration Day</t>
  </si>
  <si>
    <t>Act Start</t>
  </si>
  <si>
    <t>Act End</t>
  </si>
  <si>
    <t>Act Duration</t>
  </si>
  <si>
    <t>Work Done</t>
  </si>
  <si>
    <t>Month</t>
  </si>
  <si>
    <t>Schedule（進捗）</t>
  </si>
  <si>
    <t>Project Flow（流れ）</t>
  </si>
  <si>
    <t>Screen Design（画面設計）</t>
  </si>
  <si>
    <t>Database（DB設計書）</t>
  </si>
  <si>
    <t>Development（開発）</t>
  </si>
  <si>
    <t>Unit Test（単体試験）</t>
  </si>
  <si>
    <t>Integration Test（結合試験）</t>
  </si>
  <si>
    <t xml:space="preserve">Team Member : </t>
  </si>
  <si>
    <t>Update Date</t>
  </si>
  <si>
    <t>Create Date</t>
  </si>
  <si>
    <t>Main Flow
(プロジャック流れ）</t>
  </si>
  <si>
    <t>Explanation of Project</t>
  </si>
  <si>
    <t>プロジャックの説明</t>
  </si>
  <si>
    <t>(プロジャック流れ）</t>
  </si>
  <si>
    <t>Path：</t>
  </si>
  <si>
    <t>Screen Design
(画面設計）</t>
  </si>
  <si>
    <t>Screen Name　：</t>
  </si>
  <si>
    <t>Field Name</t>
  </si>
  <si>
    <t>Description</t>
  </si>
  <si>
    <t>PK</t>
  </si>
  <si>
    <t>AI</t>
  </si>
  <si>
    <t>NN</t>
  </si>
  <si>
    <t>Type</t>
  </si>
  <si>
    <t>Length</t>
  </si>
  <si>
    <t>FK</t>
  </si>
  <si>
    <t>Remark</t>
  </si>
  <si>
    <t>DB  Name　：</t>
  </si>
  <si>
    <t>Table Name　：</t>
  </si>
  <si>
    <t>DB Design
(DB設計）</t>
  </si>
  <si>
    <t>Schedule
(進捗）</t>
  </si>
  <si>
    <t>Customer Requirement</t>
  </si>
  <si>
    <t>1-1</t>
  </si>
  <si>
    <t>1-1-1</t>
  </si>
  <si>
    <t>a)</t>
  </si>
  <si>
    <t>b)</t>
  </si>
  <si>
    <t>c)</t>
  </si>
  <si>
    <t>d)</t>
  </si>
  <si>
    <t>e)</t>
  </si>
  <si>
    <t>2-1</t>
  </si>
  <si>
    <t>2-1-1</t>
  </si>
  <si>
    <t>Customer Page Inculde</t>
  </si>
  <si>
    <t>Customer Requirement
(要件定義)</t>
  </si>
  <si>
    <t>Admin Login Screen</t>
  </si>
  <si>
    <t xml:space="preserve"> Team X</t>
  </si>
  <si>
    <t>Aung Min Khant</t>
  </si>
  <si>
    <t>Zaw Phyo Aung</t>
  </si>
  <si>
    <t>Min Khant</t>
  </si>
  <si>
    <t>Zayyar Htet</t>
  </si>
  <si>
    <t>Zarni Win Lwin</t>
  </si>
  <si>
    <t>Cherry Phoo Phoo Khaing</t>
  </si>
  <si>
    <t>Food_Lab</t>
  </si>
  <si>
    <t>Kitchen lab</t>
  </si>
  <si>
    <t>Admin Page</t>
  </si>
  <si>
    <t>3-1</t>
  </si>
  <si>
    <t>Kitchen Page Include</t>
  </si>
  <si>
    <t>3-1-1</t>
  </si>
  <si>
    <t>Coin Manage</t>
  </si>
  <si>
    <t>Transaction Manage</t>
  </si>
  <si>
    <t>Login</t>
  </si>
  <si>
    <t>Buy Coin</t>
  </si>
  <si>
    <t>Buy Item</t>
  </si>
  <si>
    <t>Verify Mail</t>
  </si>
  <si>
    <t>Message/Notification</t>
  </si>
  <si>
    <t>Finance Manage</t>
  </si>
  <si>
    <t>Product Manage</t>
  </si>
  <si>
    <t>f)</t>
  </si>
  <si>
    <t>Profile Setting</t>
  </si>
  <si>
    <t>Order Manage</t>
  </si>
  <si>
    <t>g)</t>
  </si>
  <si>
    <t>Tracking</t>
  </si>
  <si>
    <t>Dashboard</t>
  </si>
  <si>
    <t>ALL</t>
  </si>
  <si>
    <t>Linn</t>
  </si>
  <si>
    <t>Hosting Dev</t>
  </si>
  <si>
    <t>Hosting Public</t>
  </si>
  <si>
    <t>Release</t>
  </si>
  <si>
    <t>FOOD_LAB_DB</t>
  </si>
  <si>
    <t>Admin</t>
  </si>
  <si>
    <t>http:domain/admin/</t>
  </si>
  <si>
    <t>Super Admin</t>
  </si>
  <si>
    <t>Function</t>
  </si>
  <si>
    <t>Main Category</t>
  </si>
  <si>
    <t>Page</t>
  </si>
  <si>
    <t xml:space="preserve"> </t>
  </si>
  <si>
    <t>http:domain/</t>
  </si>
  <si>
    <t>Customer page (Home)</t>
  </si>
  <si>
    <t>Kitchen Page</t>
  </si>
  <si>
    <t>http:domain/order</t>
  </si>
  <si>
    <t>Coin &amp; Order Flow</t>
  </si>
  <si>
    <t>Customer</t>
  </si>
  <si>
    <t>Order</t>
  </si>
  <si>
    <t>Yes</t>
  </si>
  <si>
    <t>C,M,ZN</t>
  </si>
  <si>
    <t>Home</t>
  </si>
  <si>
    <t>Product</t>
  </si>
  <si>
    <t>Inform</t>
  </si>
  <si>
    <t>Profile</t>
  </si>
  <si>
    <t>Access</t>
  </si>
  <si>
    <t>Transaction</t>
  </si>
  <si>
    <t>Coin</t>
  </si>
  <si>
    <t>Finance</t>
  </si>
  <si>
    <t>Setting</t>
  </si>
  <si>
    <t>Aung</t>
  </si>
  <si>
    <t>Min</t>
  </si>
  <si>
    <t>Cherry</t>
  </si>
  <si>
    <t>Zaw</t>
  </si>
  <si>
    <t>Zayar</t>
  </si>
  <si>
    <t>Zarni</t>
  </si>
  <si>
    <t>Cherry,Aung</t>
  </si>
  <si>
    <t>Name</t>
  </si>
  <si>
    <t>Mobile Design</t>
  </si>
  <si>
    <t>Review &amp; Repair</t>
  </si>
  <si>
    <t>Mobile</t>
  </si>
  <si>
    <t xml:space="preserve">Mobile </t>
  </si>
  <si>
    <t>Code Rule</t>
  </si>
  <si>
    <t>COIN</t>
  </si>
  <si>
    <t>COD</t>
  </si>
  <si>
    <t>Global Rule</t>
  </si>
  <si>
    <t>Max Code line: 170 line in one method</t>
  </si>
  <si>
    <t>Max Argument : 7 parameter in one function</t>
  </si>
  <si>
    <t>ALL Capatial Letter for global variable</t>
  </si>
  <si>
    <t xml:space="preserve"> Variable name must be meaningful (Not allow x,y,x,I,etc…)</t>
  </si>
  <si>
    <t xml:space="preserve">Must write comment in every method (header) </t>
  </si>
  <si>
    <t>/*</t>
  </si>
  <si>
    <t>*Parameter explain</t>
  </si>
  <si>
    <t xml:space="preserve">*Return </t>
  </si>
  <si>
    <t>*/</t>
  </si>
  <si>
    <t>HTML Rule</t>
  </si>
  <si>
    <t>Must write close tag</t>
  </si>
  <si>
    <t>Not allow inline css and internal css</t>
  </si>
  <si>
    <t>ID must be unique in one html</t>
  </si>
  <si>
    <t>CSS Rule</t>
  </si>
  <si>
    <t>Use scale unit (em,%,vh,vw) instead of px.(As much as possible)</t>
  </si>
  <si>
    <t>Use root declear for common properties.</t>
  </si>
  <si>
    <t>Must write comment for open close tag</t>
  </si>
  <si>
    <t>Must write comment by block</t>
  </si>
  <si>
    <t>Not allow minus assign (Example : margin : -10px)</t>
  </si>
  <si>
    <t>Must be responsive</t>
  </si>
  <si>
    <t>Global varible must be write in start of line</t>
  </si>
  <si>
    <t>Javascript/Jquery Rule</t>
  </si>
  <si>
    <t>If webpage is used  jquery,Must be write (document.ready…)</t>
  </si>
  <si>
    <t>Not allow 3 time nested Loop Condition</t>
  </si>
  <si>
    <t>If using recursive method,must have break condition</t>
  </si>
  <si>
    <t>Avoid Deadcode</t>
  </si>
  <si>
    <t>Must be format.</t>
  </si>
  <si>
    <t>Json Rule</t>
  </si>
  <si>
    <t>Key must be meaningful</t>
  </si>
  <si>
    <t>Ajax Rule</t>
  </si>
  <si>
    <t>Must have ContectType,success,error catch and statuscode control</t>
  </si>
  <si>
    <t>Must have timeout properties</t>
  </si>
  <si>
    <t>ID must be encrypt</t>
  </si>
  <si>
    <t>Laravel</t>
  </si>
  <si>
    <t>Log must be divided by Category</t>
  </si>
  <si>
    <t>Must use try catch in complex business logic</t>
  </si>
  <si>
    <t>Must use lang</t>
  </si>
  <si>
    <t>Password must be encrypt</t>
  </si>
  <si>
    <t>Class name Must be Pascal Naming Rule</t>
  </si>
  <si>
    <t>View name Must be Camel Naming Rue</t>
  </si>
  <si>
    <t>Must  MVC Rule</t>
  </si>
  <si>
    <t>Must be divided Validation Class</t>
  </si>
  <si>
    <t>*Create:Author Name(Date)</t>
  </si>
  <si>
    <t>*Update:Author Name(Date)</t>
  </si>
  <si>
    <t>*Explanation of method or function</t>
  </si>
  <si>
    <t>Class Inside Oncall function must be private</t>
  </si>
  <si>
    <t>Must delete session if it is not use</t>
  </si>
  <si>
    <t>Camel Naming Rule for all Function</t>
  </si>
  <si>
    <t>Kitchen</t>
  </si>
  <si>
    <t>Customer Page</t>
  </si>
  <si>
    <t>ad_name</t>
  </si>
  <si>
    <t>ad_password</t>
  </si>
  <si>
    <t>ad_role</t>
  </si>
  <si>
    <t>ad_valid</t>
  </si>
  <si>
    <t>ad_login_dt</t>
  </si>
  <si>
    <t>Password</t>
  </si>
  <si>
    <t>Role</t>
  </si>
  <si>
    <t>Valid or not</t>
  </si>
  <si>
    <t>integer</t>
  </si>
  <si>
    <t>0:false , 1:true</t>
  </si>
  <si>
    <t>varchar</t>
  </si>
  <si>
    <t>●</t>
  </si>
  <si>
    <t>timestamp</t>
  </si>
  <si>
    <t>Last Login Time</t>
  </si>
  <si>
    <t>Default Fields</t>
  </si>
  <si>
    <t>id</t>
  </si>
  <si>
    <t>del_flg</t>
  </si>
  <si>
    <t>ID of Row</t>
  </si>
  <si>
    <t>Deleted or Not</t>
  </si>
  <si>
    <t>created_at</t>
  </si>
  <si>
    <t>updated_at</t>
  </si>
  <si>
    <t>Created Timestamp</t>
  </si>
  <si>
    <t>Updated Timestamp</t>
  </si>
  <si>
    <t>Bigint</t>
  </si>
  <si>
    <t>M_AD_Login</t>
  </si>
  <si>
    <t>SA:Super Admin, AD:Admin,
KA:Kitchen_Admin,DL:Delivery</t>
  </si>
  <si>
    <t>base</t>
  </si>
  <si>
    <t>rate</t>
  </si>
  <si>
    <t>Base on coin</t>
  </si>
  <si>
    <t>Rate</t>
  </si>
  <si>
    <t>Default is 1</t>
  </si>
  <si>
    <t>old_base</t>
  </si>
  <si>
    <t>new_base</t>
  </si>
  <si>
    <t>old_rate</t>
  </si>
  <si>
    <t>new_rate</t>
  </si>
  <si>
    <t>change_by</t>
  </si>
  <si>
    <t>T_AD_Order</t>
  </si>
  <si>
    <t>customer_id</t>
  </si>
  <si>
    <t>Customer ID</t>
  </si>
  <si>
    <t>order_status</t>
  </si>
  <si>
    <t>order_datetime</t>
  </si>
  <si>
    <t>last_control_by</t>
  </si>
  <si>
    <t>Old Base Coin</t>
  </si>
  <si>
    <t>New Base Coin</t>
  </si>
  <si>
    <t>Old Rate</t>
  </si>
  <si>
    <t>New Rate</t>
  </si>
  <si>
    <t>Change By</t>
  </si>
  <si>
    <t>Order Status</t>
  </si>
  <si>
    <t>Order Datetime</t>
  </si>
  <si>
    <t>Last time Control By</t>
  </si>
  <si>
    <t>total_coin</t>
  </si>
  <si>
    <t>total_cash</t>
  </si>
  <si>
    <t>If Customer Buy with Coin</t>
  </si>
  <si>
    <t>If Customer Buy with COD</t>
  </si>
  <si>
    <t>change_note</t>
  </si>
  <si>
    <t>Change reason or Description</t>
  </si>
  <si>
    <t>T_AD_OrderDetail</t>
  </si>
  <si>
    <t>product_id</t>
  </si>
  <si>
    <t>quantity</t>
  </si>
  <si>
    <t>grandtotal_coin</t>
  </si>
  <si>
    <t>grandtotal_cash</t>
  </si>
  <si>
    <t>township_id</t>
  </si>
  <si>
    <t>Delivery Township ID</t>
  </si>
  <si>
    <t xml:space="preserve">Either or </t>
  </si>
  <si>
    <t>payment</t>
  </si>
  <si>
    <t>Payment Type</t>
  </si>
  <si>
    <t>0:Coin,1:COD</t>
  </si>
  <si>
    <t>note</t>
  </si>
  <si>
    <t>Product ID</t>
  </si>
  <si>
    <t>Quantity</t>
  </si>
  <si>
    <t>add note by customer</t>
  </si>
  <si>
    <t>request_coin</t>
  </si>
  <si>
    <t>request_datetime</t>
  </si>
  <si>
    <t>decision_status</t>
  </si>
  <si>
    <t>0:false,1:true</t>
  </si>
  <si>
    <t>decision_by</t>
  </si>
  <si>
    <t>re_decision</t>
  </si>
  <si>
    <t>old_status</t>
  </si>
  <si>
    <t>new_status</t>
  </si>
  <si>
    <t>Customer Request Coin</t>
  </si>
  <si>
    <t>Payment Screenshot</t>
  </si>
  <si>
    <t>Requested Datetime</t>
  </si>
  <si>
    <t>Status</t>
  </si>
  <si>
    <t>Re-decision or not</t>
  </si>
  <si>
    <t>Decision By</t>
  </si>
  <si>
    <t>T_AD_Charge ID</t>
  </si>
  <si>
    <t>order_id</t>
  </si>
  <si>
    <t>Order ID</t>
  </si>
  <si>
    <t>T_AD_Order ID</t>
  </si>
  <si>
    <t>Coin Charge ID</t>
  </si>
  <si>
    <t>M_AD_Login ID</t>
  </si>
  <si>
    <t>Old Status</t>
  </si>
  <si>
    <t>New Status</t>
  </si>
  <si>
    <t>T_AD_CoinCharge</t>
  </si>
  <si>
    <t>T_AD_CoinCharge_Decision_History</t>
  </si>
  <si>
    <t>M_AD_CoinRate</t>
  </si>
  <si>
    <t>T_AD_CoinRate_History</t>
  </si>
  <si>
    <t>T_CU_Customer</t>
  </si>
  <si>
    <t>nickname</t>
  </si>
  <si>
    <t>email</t>
  </si>
  <si>
    <t>phone</t>
  </si>
  <si>
    <t>address1</t>
  </si>
  <si>
    <t>address2</t>
  </si>
  <si>
    <t>address3</t>
  </si>
  <si>
    <t>login_by_facebook</t>
  </si>
  <si>
    <t>login_by_gmail</t>
  </si>
  <si>
    <t>gender</t>
  </si>
  <si>
    <t>password</t>
  </si>
  <si>
    <t>fav_type</t>
  </si>
  <si>
    <t>taste</t>
  </si>
  <si>
    <t>allergic</t>
  </si>
  <si>
    <t>customerID</t>
  </si>
  <si>
    <t>Generate Rule
------------------
1=&gt;Nickname (First Letter)
2=&gt;Nickname (Last Letter)
3=&gt;email (First letter)
4=&gt;password (First Letter)
5=&gt;password (Last Letter)
6,7=&gt;date (dd)
8,9=&gt;time (hh)
10,11,12=&gt;Random Chararacter[A-Za-z0-9!#$%&amp;]</t>
  </si>
  <si>
    <t>M_Township ID</t>
  </si>
  <si>
    <t>M_State ID</t>
  </si>
  <si>
    <t>Return Code form Facebook</t>
  </si>
  <si>
    <t>Return Code form Google</t>
  </si>
  <si>
    <t>0:Male,1:Female,2:Other</t>
  </si>
  <si>
    <t>bio</t>
  </si>
  <si>
    <t>ID of Customer</t>
  </si>
  <si>
    <t>Bio of customer</t>
  </si>
  <si>
    <t>Nickname</t>
  </si>
  <si>
    <t>Email</t>
  </si>
  <si>
    <t>Phone</t>
  </si>
  <si>
    <t>Address</t>
  </si>
  <si>
    <t>ID of Facebook Login</t>
  </si>
  <si>
    <t>ID of Gmail Login</t>
  </si>
  <si>
    <t>Gender of customer</t>
  </si>
  <si>
    <t>Taste of Customer</t>
  </si>
  <si>
    <t>Favorite Type of Customer</t>
  </si>
  <si>
    <t>Allergic of Customer</t>
  </si>
  <si>
    <t>Note by Admin</t>
  </si>
  <si>
    <t>title</t>
  </si>
  <si>
    <t>detail</t>
  </si>
  <si>
    <t>category</t>
  </si>
  <si>
    <t>Title of News</t>
  </si>
  <si>
    <t>Detail of News</t>
  </si>
  <si>
    <t>Category of News</t>
  </si>
  <si>
    <t>write_by</t>
  </si>
  <si>
    <t>Write By</t>
  </si>
  <si>
    <t>Title of Message</t>
  </si>
  <si>
    <t>Detail of Message</t>
  </si>
  <si>
    <t>charge_id</t>
  </si>
  <si>
    <t>T_AD_CoinCharge ID</t>
  </si>
  <si>
    <t>source</t>
  </si>
  <si>
    <t xml:space="preserve">Path of Image </t>
  </si>
  <si>
    <t>request_evd_ID</t>
  </si>
  <si>
    <t>T_AD_Evd</t>
  </si>
  <si>
    <t>Path of Screenshot</t>
  </si>
  <si>
    <t>T_CU_Customer ID</t>
  </si>
  <si>
    <t>payment_type</t>
  </si>
  <si>
    <t>path</t>
  </si>
  <si>
    <t>T_AD_CoinCharge_Finance</t>
  </si>
  <si>
    <t>M_AD_News</t>
  </si>
  <si>
    <t>M_AD_Track</t>
  </si>
  <si>
    <t>amount</t>
  </si>
  <si>
    <t>Received Amount</t>
  </si>
  <si>
    <t>M_Township</t>
  </si>
  <si>
    <t>township_name</t>
  </si>
  <si>
    <t>delivery_price</t>
  </si>
  <si>
    <t>Township Name</t>
  </si>
  <si>
    <t>Price for Devliery</t>
  </si>
  <si>
    <t>0 is Free</t>
  </si>
  <si>
    <t>M_Payment</t>
  </si>
  <si>
    <t>payment_name</t>
  </si>
  <si>
    <t>account_name</t>
  </si>
  <si>
    <t>M_Payment ID</t>
  </si>
  <si>
    <t>M_New_Category</t>
  </si>
  <si>
    <t>category_name</t>
  </si>
  <si>
    <t>food,health,promotion,social,other</t>
  </si>
  <si>
    <t>M_Taste ID</t>
  </si>
  <si>
    <t>M_Taste</t>
  </si>
  <si>
    <t>Taste of food</t>
  </si>
  <si>
    <t>Spicy,sweet,Lemon,Sweet and Sour</t>
  </si>
  <si>
    <t>M_Fav_Type ID</t>
  </si>
  <si>
    <t>M_Fav_Type</t>
  </si>
  <si>
    <t>favourite_food</t>
  </si>
  <si>
    <t>chinese,burmese,korean,thai,japanese</t>
  </si>
  <si>
    <t>M_Order_Status</t>
  </si>
  <si>
    <t>status</t>
  </si>
  <si>
    <t>M_Decision_Status ID</t>
  </si>
  <si>
    <t>M_Decison_Status</t>
  </si>
  <si>
    <t>Decision Status</t>
  </si>
  <si>
    <t>Request,Approve,Waiting,Reject</t>
  </si>
  <si>
    <t>Kpay,CB,KBZ,AYA,…..</t>
  </si>
  <si>
    <t>verify</t>
  </si>
  <si>
    <t>verift_code</t>
  </si>
  <si>
    <t>0:Not Valid,1:Valid</t>
  </si>
  <si>
    <t>Verify_Code</t>
  </si>
  <si>
    <t>generate with [A-Za-z0-9!#$%&amp;]</t>
  </si>
  <si>
    <t>dob</t>
  </si>
  <si>
    <t>Date of birthday</t>
  </si>
  <si>
    <t>last_login_time</t>
  </si>
  <si>
    <t>T_AD_Report</t>
  </si>
  <si>
    <t>T_AD_Contact</t>
  </si>
  <si>
    <t>T_AD_Suggest</t>
  </si>
  <si>
    <t>reply</t>
  </si>
  <si>
    <t>report_message</t>
  </si>
  <si>
    <t>Reported Message From Customer</t>
  </si>
  <si>
    <t>Reply Form Admin</t>
  </si>
  <si>
    <t>message</t>
  </si>
  <si>
    <t>Contact Message From Customer</t>
  </si>
  <si>
    <t>Reply form Admin</t>
  </si>
  <si>
    <t>suggest_type</t>
  </si>
  <si>
    <t>M_AD_CoinCharge_Message</t>
  </si>
  <si>
    <t>* Reply By mail</t>
  </si>
  <si>
    <t>Suggestion Type</t>
  </si>
  <si>
    <t>M_Suggest ID</t>
  </si>
  <si>
    <t>Suggest Message From Customer</t>
  </si>
  <si>
    <t>M_Suggest</t>
  </si>
  <si>
    <t>Suggest Type</t>
  </si>
  <si>
    <t>Cooking Quality,Delivery,Website,Taste</t>
  </si>
  <si>
    <t>M_Site</t>
  </si>
  <si>
    <t>site_name</t>
  </si>
  <si>
    <t>site_logo</t>
  </si>
  <si>
    <t>Logo Path</t>
  </si>
  <si>
    <t>Logo Of Website</t>
  </si>
  <si>
    <t>privacy_policy</t>
  </si>
  <si>
    <t>maintenance</t>
  </si>
  <si>
    <t>update_by</t>
  </si>
  <si>
    <t>Update By</t>
  </si>
  <si>
    <t>Maintenance Status</t>
  </si>
  <si>
    <t>Provacy Policy</t>
  </si>
  <si>
    <t>Name Of Site</t>
  </si>
  <si>
    <t>T_CU_Coin</t>
  </si>
  <si>
    <t>coin</t>
  </si>
  <si>
    <t>Coin Balance</t>
  </si>
  <si>
    <t>approve_By</t>
  </si>
  <si>
    <t>Approve By</t>
  </si>
  <si>
    <t>M_Order_Status ID</t>
  </si>
  <si>
    <t>T_AD_Evd ID</t>
  </si>
  <si>
    <t>note by admin</t>
  </si>
  <si>
    <t>Payment Name</t>
  </si>
  <si>
    <t>M_CU_Customer_Login</t>
  </si>
  <si>
    <t>Category Name</t>
  </si>
  <si>
    <t>For mail</t>
  </si>
  <si>
    <t>M_CU_Customer_Login 's customer_id search</t>
  </si>
  <si>
    <t>Request,Cancel,Confirm,Reject,Working,Delivery,
Complete</t>
  </si>
  <si>
    <t>M_Product</t>
  </si>
  <si>
    <t>product_name</t>
  </si>
  <si>
    <t>product_type</t>
  </si>
  <si>
    <t>product_taste</t>
  </si>
  <si>
    <t>description</t>
  </si>
  <si>
    <t>avaliable</t>
  </si>
  <si>
    <t>0: avaliable , 1:not avaliable</t>
  </si>
  <si>
    <t>M_Product_Detail</t>
  </si>
  <si>
    <t>M_Product _ID</t>
  </si>
  <si>
    <t>order</t>
  </si>
  <si>
    <t>label</t>
  </si>
  <si>
    <t>value</t>
  </si>
  <si>
    <t>M_News_Category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</si>
</sst>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/mm/dd"/>
    <numFmt numFmtId="165" formatCode="0.0"/>
  </numFmts>
  <fonts count="4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36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5" tint="-0.249977111117893"/>
      <name val="Calibri"/>
      <family val="2"/>
      <scheme val="minor"/>
    </font>
    <font>
      <b/>
      <sz val="36"/>
      <color theme="5" tint="-0.249977111117893"/>
      <name val="Calibri"/>
      <family val="2"/>
      <scheme val="minor"/>
    </font>
    <font>
      <sz val="16"/>
      <name val="Calibri"/>
      <family val="2"/>
      <scheme val="minor"/>
    </font>
    <font>
      <sz val="14"/>
      <color theme="4" tint="-0.249977111117893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4" tint="-0.249977111117893"/>
      <name val="Calibri"/>
      <family val="2"/>
      <scheme val="minor"/>
    </font>
    <font>
      <u/>
      <sz val="12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u/>
      <sz val="18"/>
      <color theme="10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75"/>
      <color rgb="FF0070C0"/>
      <name val="Calibri"/>
      <family val="2"/>
      <scheme val="minor"/>
    </font>
    <font>
      <sz val="75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40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25"/>
      <color rgb="FFFF0000"/>
      <name val="Calibri"/>
      <family val="2"/>
      <scheme val="minor"/>
    </font>
    <font>
      <sz val="25"/>
      <color theme="1"/>
      <name val="Calibri"/>
      <family val="2"/>
      <scheme val="minor"/>
    </font>
    <font>
      <sz val="25"/>
      <color theme="4" tint="-0.249977111117893"/>
      <name val="Calibri"/>
      <family val="2"/>
      <scheme val="minor"/>
    </font>
    <font>
      <b/>
      <sz val="25"/>
      <color theme="1"/>
      <name val="Calibri"/>
      <family val="2"/>
      <scheme val="minor"/>
    </font>
    <font>
      <b/>
      <sz val="25"/>
      <color theme="4" tint="-0.249977111117893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22"/>
      <color theme="10"/>
      <name val="Calibri (Body)"/>
    </font>
    <font>
      <u/>
      <sz val="22"/>
      <color theme="10"/>
      <name val="Calibri"/>
      <family val="2"/>
      <scheme val="minor"/>
    </font>
    <font>
      <sz val="8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5"/>
      <color theme="1"/>
      <name val="Calibri"/>
      <family val="2"/>
      <scheme val="minor"/>
    </font>
    <font>
      <sz val="18"/>
      <color theme="4"/>
      <name val="Calibri"/>
      <family val="2"/>
      <scheme val="minor"/>
    </font>
    <font>
      <sz val="18"/>
      <color rgb="FFFF0000"/>
      <name val="Calibri"/>
      <family val="2"/>
      <scheme val="minor"/>
    </font>
    <font>
      <sz val="22"/>
      <color theme="10"/>
      <name val="Calibri"/>
      <family val="2"/>
      <scheme val="minor"/>
    </font>
    <font>
      <sz val="18"/>
      <color rgb="FF00B050"/>
      <name val="Calibri"/>
      <family val="2"/>
      <scheme val="minor"/>
    </font>
    <font>
      <sz val="18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12" fillId="0" borderId="0"/>
    <xf numFmtId="0" fontId="14" fillId="0" borderId="0" applyNumberFormat="0" applyFill="0" applyBorder="0" applyAlignment="0" applyProtection="0"/>
  </cellStyleXfs>
  <cellXfs count="393">
    <xf numFmtId="0" fontId="0" fillId="0" borderId="0" xfId="0"/>
    <xf numFmtId="164" fontId="0" fillId="0" borderId="0" xfId="0" applyNumberFormat="1"/>
    <xf numFmtId="0" fontId="2" fillId="0" borderId="0" xfId="0" applyFont="1"/>
    <xf numFmtId="0" fontId="0" fillId="0" borderId="0" xfId="0" applyBorder="1"/>
    <xf numFmtId="0" fontId="6" fillId="0" borderId="0" xfId="0" applyFont="1" applyBorder="1"/>
    <xf numFmtId="0" fontId="3" fillId="0" borderId="0" xfId="0" applyFont="1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0" fontId="2" fillId="0" borderId="0" xfId="0" applyFont="1" applyBorder="1"/>
    <xf numFmtId="0" fontId="2" fillId="0" borderId="22" xfId="0" applyFont="1" applyBorder="1"/>
    <xf numFmtId="0" fontId="3" fillId="0" borderId="22" xfId="0" applyFont="1" applyBorder="1"/>
    <xf numFmtId="0" fontId="3" fillId="0" borderId="22" xfId="0" applyFont="1" applyBorder="1" applyAlignment="1">
      <alignment horizontal="left" indent="1"/>
    </xf>
    <xf numFmtId="0" fontId="0" fillId="0" borderId="22" xfId="0" applyBorder="1" applyAlignment="1">
      <alignment horizontal="left" indent="1"/>
    </xf>
    <xf numFmtId="0" fontId="10" fillId="4" borderId="3" xfId="0" applyFont="1" applyFill="1" applyBorder="1" applyAlignment="1">
      <alignment vertical="center"/>
    </xf>
    <xf numFmtId="0" fontId="10" fillId="4" borderId="13" xfId="0" applyFont="1" applyFill="1" applyBorder="1" applyAlignment="1">
      <alignment vertical="center"/>
    </xf>
    <xf numFmtId="0" fontId="11" fillId="0" borderId="0" xfId="0" applyFont="1" applyBorder="1"/>
    <xf numFmtId="0" fontId="2" fillId="0" borderId="23" xfId="0" applyFont="1" applyBorder="1"/>
    <xf numFmtId="0" fontId="4" fillId="0" borderId="0" xfId="0" applyFont="1" applyBorder="1" applyAlignment="1">
      <alignment horizontal="left" indent="1"/>
    </xf>
    <xf numFmtId="0" fontId="4" fillId="5" borderId="1" xfId="2" applyFont="1" applyFill="1" applyBorder="1"/>
    <xf numFmtId="0" fontId="4" fillId="5" borderId="3" xfId="2" applyFont="1" applyFill="1" applyBorder="1"/>
    <xf numFmtId="0" fontId="4" fillId="0" borderId="6" xfId="2" applyFont="1" applyBorder="1"/>
    <xf numFmtId="0" fontId="4" fillId="0" borderId="8" xfId="2" applyFont="1" applyBorder="1"/>
    <xf numFmtId="0" fontId="4" fillId="0" borderId="8" xfId="2" applyFont="1" applyBorder="1" applyAlignment="1">
      <alignment horizontal="left" vertical="center"/>
    </xf>
    <xf numFmtId="0" fontId="4" fillId="0" borderId="11" xfId="2" applyFont="1" applyBorder="1"/>
    <xf numFmtId="0" fontId="4" fillId="0" borderId="13" xfId="2" applyFont="1" applyBorder="1"/>
    <xf numFmtId="0" fontId="4" fillId="0" borderId="13" xfId="2" applyFont="1" applyBorder="1" applyAlignment="1">
      <alignment horizontal="left" vertical="center"/>
    </xf>
    <xf numFmtId="0" fontId="13" fillId="0" borderId="0" xfId="0" applyFont="1" applyBorder="1"/>
    <xf numFmtId="0" fontId="0" fillId="0" borderId="34" xfId="0" applyBorder="1"/>
    <xf numFmtId="0" fontId="0" fillId="0" borderId="35" xfId="0" applyBorder="1"/>
    <xf numFmtId="0" fontId="4" fillId="0" borderId="22" xfId="0" applyFont="1" applyBorder="1" applyAlignment="1">
      <alignment horizontal="left" indent="1"/>
    </xf>
    <xf numFmtId="0" fontId="3" fillId="2" borderId="1" xfId="0" applyFont="1" applyFill="1" applyBorder="1"/>
    <xf numFmtId="0" fontId="3" fillId="0" borderId="6" xfId="0" applyFont="1" applyFill="1" applyBorder="1"/>
    <xf numFmtId="0" fontId="3" fillId="3" borderId="7" xfId="0" applyFont="1" applyFill="1" applyBorder="1"/>
    <xf numFmtId="0" fontId="3" fillId="0" borderId="8" xfId="0" applyFont="1" applyFill="1" applyBorder="1"/>
    <xf numFmtId="164" fontId="3" fillId="0" borderId="8" xfId="0" applyNumberFormat="1" applyFont="1" applyFill="1" applyBorder="1"/>
    <xf numFmtId="1" fontId="3" fillId="0" borderId="9" xfId="0" applyNumberFormat="1" applyFont="1" applyFill="1" applyBorder="1"/>
    <xf numFmtId="9" fontId="3" fillId="0" borderId="10" xfId="1" applyFont="1" applyFill="1" applyBorder="1"/>
    <xf numFmtId="0" fontId="3" fillId="0" borderId="23" xfId="0" applyFont="1" applyBorder="1"/>
    <xf numFmtId="0" fontId="4" fillId="0" borderId="0" xfId="0" applyFont="1" applyBorder="1"/>
    <xf numFmtId="0" fontId="4" fillId="0" borderId="24" xfId="0" applyFont="1" applyBorder="1"/>
    <xf numFmtId="0" fontId="3" fillId="7" borderId="8" xfId="0" applyFont="1" applyFill="1" applyBorder="1"/>
    <xf numFmtId="0" fontId="3" fillId="0" borderId="36" xfId="0" applyFont="1" applyFill="1" applyBorder="1"/>
    <xf numFmtId="0" fontId="3" fillId="3" borderId="17" xfId="0" applyFont="1" applyFill="1" applyBorder="1"/>
    <xf numFmtId="0" fontId="3" fillId="0" borderId="37" xfId="0" applyFont="1" applyFill="1" applyBorder="1"/>
    <xf numFmtId="164" fontId="3" fillId="0" borderId="37" xfId="0" applyNumberFormat="1" applyFont="1" applyFill="1" applyBorder="1"/>
    <xf numFmtId="9" fontId="3" fillId="0" borderId="38" xfId="1" applyFont="1" applyFill="1" applyBorder="1"/>
    <xf numFmtId="0" fontId="3" fillId="6" borderId="11" xfId="0" applyFont="1" applyFill="1" applyBorder="1"/>
    <xf numFmtId="0" fontId="3" fillId="6" borderId="12" xfId="0" applyFont="1" applyFill="1" applyBorder="1"/>
    <xf numFmtId="0" fontId="3" fillId="6" borderId="13" xfId="0" applyFont="1" applyFill="1" applyBorder="1"/>
    <xf numFmtId="164" fontId="3" fillId="6" borderId="13" xfId="0" applyNumberFormat="1" applyFont="1" applyFill="1" applyBorder="1"/>
    <xf numFmtId="1" fontId="3" fillId="6" borderId="14" xfId="0" applyNumberFormat="1" applyFont="1" applyFill="1" applyBorder="1"/>
    <xf numFmtId="9" fontId="3" fillId="6" borderId="15" xfId="1" applyFont="1" applyFill="1" applyBorder="1"/>
    <xf numFmtId="0" fontId="16" fillId="0" borderId="0" xfId="3" applyFont="1" applyBorder="1"/>
    <xf numFmtId="0" fontId="17" fillId="0" borderId="0" xfId="0" applyFont="1" applyBorder="1"/>
    <xf numFmtId="0" fontId="17" fillId="0" borderId="22" xfId="0" applyFont="1" applyBorder="1"/>
    <xf numFmtId="0" fontId="3" fillId="0" borderId="0" xfId="0" applyFont="1"/>
    <xf numFmtId="0" fontId="4" fillId="0" borderId="0" xfId="0" applyFont="1"/>
    <xf numFmtId="164" fontId="3" fillId="0" borderId="0" xfId="0" applyNumberFormat="1" applyFont="1" applyBorder="1"/>
    <xf numFmtId="165" fontId="3" fillId="0" borderId="0" xfId="0" applyNumberFormat="1" applyFont="1" applyBorder="1"/>
    <xf numFmtId="164" fontId="0" fillId="0" borderId="25" xfId="0" applyNumberFormat="1" applyBorder="1"/>
    <xf numFmtId="0" fontId="18" fillId="0" borderId="0" xfId="0" applyFont="1" applyBorder="1" applyAlignment="1">
      <alignment horizontal="center" vertical="center"/>
    </xf>
    <xf numFmtId="0" fontId="18" fillId="0" borderId="0" xfId="0" applyFont="1" applyBorder="1"/>
    <xf numFmtId="0" fontId="18" fillId="0" borderId="0" xfId="0" applyFont="1" applyFill="1" applyBorder="1" applyAlignment="1">
      <alignment horizontal="center" vertical="center"/>
    </xf>
    <xf numFmtId="14" fontId="7" fillId="0" borderId="0" xfId="0" applyNumberFormat="1" applyFont="1" applyBorder="1"/>
    <xf numFmtId="0" fontId="20" fillId="0" borderId="22" xfId="0" applyFont="1" applyBorder="1"/>
    <xf numFmtId="0" fontId="20" fillId="0" borderId="0" xfId="0" applyFont="1" applyBorder="1"/>
    <xf numFmtId="0" fontId="5" fillId="0" borderId="22" xfId="0" applyFont="1" applyBorder="1"/>
    <xf numFmtId="0" fontId="5" fillId="0" borderId="0" xfId="0" applyFont="1" applyBorder="1"/>
    <xf numFmtId="0" fontId="17" fillId="0" borderId="19" xfId="0" applyFont="1" applyBorder="1"/>
    <xf numFmtId="0" fontId="17" fillId="0" borderId="20" xfId="0" applyFont="1" applyBorder="1"/>
    <xf numFmtId="0" fontId="22" fillId="0" borderId="20" xfId="0" applyFont="1" applyBorder="1"/>
    <xf numFmtId="0" fontId="22" fillId="0" borderId="0" xfId="0" applyFont="1" applyBorder="1"/>
    <xf numFmtId="0" fontId="3" fillId="0" borderId="20" xfId="0" applyFont="1" applyBorder="1"/>
    <xf numFmtId="0" fontId="3" fillId="0" borderId="21" xfId="0" applyFont="1" applyBorder="1"/>
    <xf numFmtId="0" fontId="7" fillId="2" borderId="2" xfId="0" applyFont="1" applyFill="1" applyBorder="1"/>
    <xf numFmtId="0" fontId="7" fillId="2" borderId="3" xfId="0" applyFont="1" applyFill="1" applyBorder="1"/>
    <xf numFmtId="0" fontId="7" fillId="2" borderId="4" xfId="0" applyFont="1" applyFill="1" applyBorder="1"/>
    <xf numFmtId="0" fontId="7" fillId="2" borderId="5" xfId="0" applyFont="1" applyFill="1" applyBorder="1"/>
    <xf numFmtId="0" fontId="7" fillId="0" borderId="0" xfId="0" applyFont="1" applyBorder="1"/>
    <xf numFmtId="0" fontId="7" fillId="0" borderId="23" xfId="0" applyFont="1" applyBorder="1"/>
    <xf numFmtId="0" fontId="15" fillId="0" borderId="0" xfId="0" applyFont="1"/>
    <xf numFmtId="0" fontId="7" fillId="3" borderId="7" xfId="0" applyFont="1" applyFill="1" applyBorder="1"/>
    <xf numFmtId="0" fontId="15" fillId="0" borderId="0" xfId="0" applyFont="1" applyBorder="1"/>
    <xf numFmtId="0" fontId="15" fillId="0" borderId="23" xfId="0" applyFont="1" applyBorder="1"/>
    <xf numFmtId="0" fontId="4" fillId="8" borderId="0" xfId="0" applyFont="1" applyFill="1" applyBorder="1"/>
    <xf numFmtId="0" fontId="4" fillId="9" borderId="0" xfId="0" applyFont="1" applyFill="1" applyBorder="1"/>
    <xf numFmtId="0" fontId="4" fillId="7" borderId="0" xfId="0" applyFont="1" applyFill="1"/>
    <xf numFmtId="0" fontId="4" fillId="0" borderId="0" xfId="0" applyFont="1" applyAlignment="1">
      <alignment horizontal="left" indent="1"/>
    </xf>
    <xf numFmtId="0" fontId="24" fillId="0" borderId="22" xfId="0" applyFont="1" applyBorder="1" applyAlignment="1">
      <alignment horizontal="left" indent="1"/>
    </xf>
    <xf numFmtId="0" fontId="25" fillId="0" borderId="0" xfId="0" applyFont="1" applyBorder="1"/>
    <xf numFmtId="0" fontId="26" fillId="0" borderId="0" xfId="0" applyFont="1" applyBorder="1"/>
    <xf numFmtId="0" fontId="27" fillId="0" borderId="0" xfId="0" applyFont="1" applyBorder="1"/>
    <xf numFmtId="0" fontId="28" fillId="0" borderId="0" xfId="0" applyFont="1" applyBorder="1"/>
    <xf numFmtId="0" fontId="25" fillId="0" borderId="23" xfId="0" applyFont="1" applyBorder="1"/>
    <xf numFmtId="0" fontId="25" fillId="0" borderId="22" xfId="0" applyFont="1" applyBorder="1"/>
    <xf numFmtId="16" fontId="27" fillId="0" borderId="0" xfId="0" quotePrefix="1" applyNumberFormat="1" applyFont="1" applyBorder="1"/>
    <xf numFmtId="0" fontId="27" fillId="0" borderId="0" xfId="0" quotePrefix="1" applyFont="1" applyBorder="1"/>
    <xf numFmtId="0" fontId="25" fillId="0" borderId="0" xfId="0" quotePrefix="1" applyFont="1" applyBorder="1"/>
    <xf numFmtId="0" fontId="25" fillId="0" borderId="0" xfId="0" applyFont="1"/>
    <xf numFmtId="0" fontId="0" fillId="10" borderId="22" xfId="0" applyFill="1" applyBorder="1"/>
    <xf numFmtId="0" fontId="0" fillId="10" borderId="0" xfId="0" applyFill="1" applyBorder="1"/>
    <xf numFmtId="0" fontId="0" fillId="10" borderId="23" xfId="0" applyFill="1" applyBorder="1"/>
    <xf numFmtId="0" fontId="0" fillId="11" borderId="0" xfId="0" applyFill="1" applyBorder="1"/>
    <xf numFmtId="0" fontId="0" fillId="12" borderId="0" xfId="0" applyFill="1" applyBorder="1"/>
    <xf numFmtId="0" fontId="0" fillId="12" borderId="23" xfId="0" applyFill="1" applyBorder="1"/>
    <xf numFmtId="0" fontId="2" fillId="12" borderId="0" xfId="0" applyFont="1" applyFill="1" applyBorder="1"/>
    <xf numFmtId="0" fontId="2" fillId="12" borderId="23" xfId="0" applyFont="1" applyFill="1" applyBorder="1"/>
    <xf numFmtId="0" fontId="18" fillId="10" borderId="0" xfId="0" applyFont="1" applyFill="1" applyBorder="1"/>
    <xf numFmtId="0" fontId="18" fillId="11" borderId="0" xfId="0" applyFont="1" applyFill="1" applyBorder="1"/>
    <xf numFmtId="0" fontId="0" fillId="11" borderId="25" xfId="0" applyFill="1" applyBorder="1"/>
    <xf numFmtId="0" fontId="0" fillId="10" borderId="25" xfId="0" applyFill="1" applyBorder="1"/>
    <xf numFmtId="0" fontId="0" fillId="12" borderId="25" xfId="0" applyFill="1" applyBorder="1"/>
    <xf numFmtId="0" fontId="0" fillId="12" borderId="26" xfId="0" applyFill="1" applyBorder="1"/>
    <xf numFmtId="0" fontId="3" fillId="11" borderId="7" xfId="0" applyFont="1" applyFill="1" applyBorder="1"/>
    <xf numFmtId="0" fontId="3" fillId="11" borderId="8" xfId="0" applyFont="1" applyFill="1" applyBorder="1"/>
    <xf numFmtId="164" fontId="3" fillId="11" borderId="8" xfId="0" applyNumberFormat="1" applyFont="1" applyFill="1" applyBorder="1"/>
    <xf numFmtId="1" fontId="3" fillId="11" borderId="9" xfId="0" applyNumberFormat="1" applyFont="1" applyFill="1" applyBorder="1"/>
    <xf numFmtId="9" fontId="3" fillId="11" borderId="10" xfId="1" applyFont="1" applyFill="1" applyBorder="1"/>
    <xf numFmtId="1" fontId="3" fillId="0" borderId="39" xfId="0" applyNumberFormat="1" applyFont="1" applyFill="1" applyBorder="1"/>
    <xf numFmtId="0" fontId="3" fillId="0" borderId="40" xfId="0" applyFont="1" applyFill="1" applyBorder="1"/>
    <xf numFmtId="0" fontId="3" fillId="0" borderId="1" xfId="0" applyFont="1" applyFill="1" applyBorder="1"/>
    <xf numFmtId="0" fontId="3" fillId="11" borderId="2" xfId="0" applyFont="1" applyFill="1" applyBorder="1"/>
    <xf numFmtId="0" fontId="3" fillId="11" borderId="3" xfId="0" applyFont="1" applyFill="1" applyBorder="1"/>
    <xf numFmtId="164" fontId="3" fillId="11" borderId="3" xfId="0" applyNumberFormat="1" applyFont="1" applyFill="1" applyBorder="1"/>
    <xf numFmtId="1" fontId="3" fillId="11" borderId="4" xfId="0" applyNumberFormat="1" applyFont="1" applyFill="1" applyBorder="1"/>
    <xf numFmtId="9" fontId="3" fillId="11" borderId="5" xfId="1" applyFont="1" applyFill="1" applyBorder="1"/>
    <xf numFmtId="0" fontId="3" fillId="0" borderId="11" xfId="0" applyFont="1" applyFill="1" applyBorder="1"/>
    <xf numFmtId="0" fontId="3" fillId="11" borderId="12" xfId="0" applyFont="1" applyFill="1" applyBorder="1"/>
    <xf numFmtId="0" fontId="3" fillId="11" borderId="13" xfId="0" applyFont="1" applyFill="1" applyBorder="1"/>
    <xf numFmtId="164" fontId="3" fillId="11" borderId="13" xfId="0" applyNumberFormat="1" applyFont="1" applyFill="1" applyBorder="1"/>
    <xf numFmtId="1" fontId="3" fillId="11" borderId="14" xfId="0" applyNumberFormat="1" applyFont="1" applyFill="1" applyBorder="1"/>
    <xf numFmtId="9" fontId="3" fillId="11" borderId="15" xfId="1" applyFont="1" applyFill="1" applyBorder="1"/>
    <xf numFmtId="0" fontId="3" fillId="10" borderId="7" xfId="0" applyFont="1" applyFill="1" applyBorder="1"/>
    <xf numFmtId="0" fontId="3" fillId="10" borderId="8" xfId="0" applyFont="1" applyFill="1" applyBorder="1"/>
    <xf numFmtId="164" fontId="3" fillId="10" borderId="8" xfId="0" applyNumberFormat="1" applyFont="1" applyFill="1" applyBorder="1"/>
    <xf numFmtId="1" fontId="3" fillId="10" borderId="9" xfId="0" applyNumberFormat="1" applyFont="1" applyFill="1" applyBorder="1"/>
    <xf numFmtId="9" fontId="3" fillId="10" borderId="10" xfId="1" applyFont="1" applyFill="1" applyBorder="1"/>
    <xf numFmtId="0" fontId="3" fillId="10" borderId="2" xfId="0" applyFont="1" applyFill="1" applyBorder="1"/>
    <xf numFmtId="0" fontId="3" fillId="10" borderId="3" xfId="0" applyFont="1" applyFill="1" applyBorder="1"/>
    <xf numFmtId="164" fontId="3" fillId="10" borderId="3" xfId="0" applyNumberFormat="1" applyFont="1" applyFill="1" applyBorder="1"/>
    <xf numFmtId="1" fontId="3" fillId="10" borderId="4" xfId="0" applyNumberFormat="1" applyFont="1" applyFill="1" applyBorder="1"/>
    <xf numFmtId="9" fontId="3" fillId="10" borderId="5" xfId="1" applyFont="1" applyFill="1" applyBorder="1"/>
    <xf numFmtId="0" fontId="3" fillId="10" borderId="12" xfId="0" applyFont="1" applyFill="1" applyBorder="1"/>
    <xf numFmtId="0" fontId="3" fillId="10" borderId="13" xfId="0" applyFont="1" applyFill="1" applyBorder="1"/>
    <xf numFmtId="164" fontId="3" fillId="10" borderId="13" xfId="0" applyNumberFormat="1" applyFont="1" applyFill="1" applyBorder="1"/>
    <xf numFmtId="1" fontId="3" fillId="10" borderId="14" xfId="0" applyNumberFormat="1" applyFont="1" applyFill="1" applyBorder="1"/>
    <xf numFmtId="9" fontId="3" fillId="10" borderId="15" xfId="1" applyFont="1" applyFill="1" applyBorder="1"/>
    <xf numFmtId="0" fontId="3" fillId="3" borderId="41" xfId="0" applyFont="1" applyFill="1" applyBorder="1"/>
    <xf numFmtId="0" fontId="3" fillId="0" borderId="42" xfId="0" applyFont="1" applyFill="1" applyBorder="1"/>
    <xf numFmtId="164" fontId="3" fillId="0" borderId="42" xfId="0" applyNumberFormat="1" applyFont="1" applyFill="1" applyBorder="1"/>
    <xf numFmtId="1" fontId="3" fillId="0" borderId="43" xfId="0" applyNumberFormat="1" applyFont="1" applyFill="1" applyBorder="1"/>
    <xf numFmtId="9" fontId="3" fillId="0" borderId="44" xfId="1" applyFont="1" applyFill="1" applyBorder="1"/>
    <xf numFmtId="0" fontId="3" fillId="12" borderId="2" xfId="0" applyFont="1" applyFill="1" applyBorder="1"/>
    <xf numFmtId="0" fontId="3" fillId="12" borderId="3" xfId="0" applyFont="1" applyFill="1" applyBorder="1"/>
    <xf numFmtId="164" fontId="3" fillId="12" borderId="3" xfId="0" applyNumberFormat="1" applyFont="1" applyFill="1" applyBorder="1"/>
    <xf numFmtId="1" fontId="3" fillId="12" borderId="4" xfId="0" applyNumberFormat="1" applyFont="1" applyFill="1" applyBorder="1"/>
    <xf numFmtId="9" fontId="3" fillId="12" borderId="5" xfId="1" applyFont="1" applyFill="1" applyBorder="1"/>
    <xf numFmtId="0" fontId="3" fillId="12" borderId="12" xfId="0" applyFont="1" applyFill="1" applyBorder="1"/>
    <xf numFmtId="0" fontId="3" fillId="12" borderId="13" xfId="0" applyFont="1" applyFill="1" applyBorder="1"/>
    <xf numFmtId="164" fontId="3" fillId="12" borderId="13" xfId="0" applyNumberFormat="1" applyFont="1" applyFill="1" applyBorder="1"/>
    <xf numFmtId="1" fontId="3" fillId="12" borderId="14" xfId="0" applyNumberFormat="1" applyFont="1" applyFill="1" applyBorder="1"/>
    <xf numFmtId="9" fontId="3" fillId="12" borderId="15" xfId="1" applyFont="1" applyFill="1" applyBorder="1"/>
    <xf numFmtId="0" fontId="17" fillId="0" borderId="8" xfId="0" applyFont="1" applyBorder="1"/>
    <xf numFmtId="0" fontId="17" fillId="0" borderId="9" xfId="0" applyFont="1" applyBorder="1"/>
    <xf numFmtId="0" fontId="17" fillId="0" borderId="42" xfId="0" applyFont="1" applyBorder="1"/>
    <xf numFmtId="0" fontId="17" fillId="0" borderId="43" xfId="0" applyFont="1" applyBorder="1"/>
    <xf numFmtId="0" fontId="17" fillId="4" borderId="8" xfId="0" applyFont="1" applyFill="1" applyBorder="1"/>
    <xf numFmtId="0" fontId="33" fillId="2" borderId="16" xfId="0" applyFont="1" applyFill="1" applyBorder="1"/>
    <xf numFmtId="0" fontId="33" fillId="2" borderId="45" xfId="0" applyFont="1" applyFill="1" applyBorder="1"/>
    <xf numFmtId="0" fontId="34" fillId="10" borderId="34" xfId="0" applyFont="1" applyFill="1" applyBorder="1"/>
    <xf numFmtId="0" fontId="34" fillId="11" borderId="34" xfId="0" applyFont="1" applyFill="1" applyBorder="1"/>
    <xf numFmtId="0" fontId="34" fillId="10" borderId="33" xfId="0" applyFont="1" applyFill="1" applyBorder="1"/>
    <xf numFmtId="0" fontId="34" fillId="10" borderId="35" xfId="0" applyFont="1" applyFill="1" applyBorder="1"/>
    <xf numFmtId="0" fontId="34" fillId="11" borderId="33" xfId="0" applyFont="1" applyFill="1" applyBorder="1"/>
    <xf numFmtId="0" fontId="34" fillId="11" borderId="35" xfId="0" applyFont="1" applyFill="1" applyBorder="1"/>
    <xf numFmtId="0" fontId="34" fillId="0" borderId="0" xfId="0" applyFont="1" applyBorder="1"/>
    <xf numFmtId="0" fontId="34" fillId="10" borderId="20" xfId="0" applyFont="1" applyFill="1" applyBorder="1"/>
    <xf numFmtId="0" fontId="34" fillId="10" borderId="21" xfId="0" applyFont="1" applyFill="1" applyBorder="1"/>
    <xf numFmtId="0" fontId="34" fillId="11" borderId="19" xfId="0" applyFont="1" applyFill="1" applyBorder="1"/>
    <xf numFmtId="0" fontId="34" fillId="11" borderId="20" xfId="0" applyFont="1" applyFill="1" applyBorder="1"/>
    <xf numFmtId="0" fontId="34" fillId="10" borderId="25" xfId="0" applyFont="1" applyFill="1" applyBorder="1"/>
    <xf numFmtId="0" fontId="34" fillId="10" borderId="26" xfId="0" applyFont="1" applyFill="1" applyBorder="1"/>
    <xf numFmtId="0" fontId="34" fillId="11" borderId="24" xfId="0" applyFont="1" applyFill="1" applyBorder="1"/>
    <xf numFmtId="0" fontId="34" fillId="11" borderId="25" xfId="0" applyFont="1" applyFill="1" applyBorder="1"/>
    <xf numFmtId="0" fontId="34" fillId="12" borderId="33" xfId="0" applyFont="1" applyFill="1" applyBorder="1"/>
    <xf numFmtId="0" fontId="34" fillId="12" borderId="34" xfId="0" applyFont="1" applyFill="1" applyBorder="1"/>
    <xf numFmtId="0" fontId="34" fillId="12" borderId="35" xfId="0" applyFont="1" applyFill="1" applyBorder="1"/>
    <xf numFmtId="0" fontId="34" fillId="14" borderId="18" xfId="0" applyFont="1" applyFill="1" applyBorder="1"/>
    <xf numFmtId="0" fontId="33" fillId="4" borderId="16" xfId="0" applyFont="1" applyFill="1" applyBorder="1"/>
    <xf numFmtId="0" fontId="33" fillId="4" borderId="17" xfId="0" applyFont="1" applyFill="1" applyBorder="1"/>
    <xf numFmtId="0" fontId="2" fillId="10" borderId="22" xfId="0" applyFont="1" applyFill="1" applyBorder="1"/>
    <xf numFmtId="0" fontId="2" fillId="10" borderId="0" xfId="0" applyFont="1" applyFill="1" applyBorder="1"/>
    <xf numFmtId="0" fontId="0" fillId="10" borderId="24" xfId="0" applyFill="1" applyBorder="1"/>
    <xf numFmtId="0" fontId="0" fillId="11" borderId="0" xfId="0" applyFill="1"/>
    <xf numFmtId="0" fontId="18" fillId="11" borderId="0" xfId="0" applyFont="1" applyFill="1" applyBorder="1" applyAlignment="1">
      <alignment horizontal="right" vertical="center"/>
    </xf>
    <xf numFmtId="0" fontId="4" fillId="0" borderId="23" xfId="0" applyFont="1" applyBorder="1"/>
    <xf numFmtId="0" fontId="4" fillId="0" borderId="25" xfId="0" applyFont="1" applyBorder="1"/>
    <xf numFmtId="0" fontId="4" fillId="0" borderId="26" xfId="0" applyFont="1" applyBorder="1"/>
    <xf numFmtId="0" fontId="35" fillId="0" borderId="0" xfId="0" applyFont="1" applyBorder="1"/>
    <xf numFmtId="0" fontId="36" fillId="0" borderId="0" xfId="0" applyFont="1" applyBorder="1"/>
    <xf numFmtId="0" fontId="4" fillId="0" borderId="22" xfId="0" applyFont="1" applyBorder="1"/>
    <xf numFmtId="0" fontId="30" fillId="11" borderId="0" xfId="3" applyFont="1" applyFill="1" applyBorder="1" applyAlignment="1"/>
    <xf numFmtId="0" fontId="3" fillId="16" borderId="6" xfId="0" applyFont="1" applyFill="1" applyBorder="1"/>
    <xf numFmtId="0" fontId="7" fillId="16" borderId="7" xfId="0" applyFont="1" applyFill="1" applyBorder="1"/>
    <xf numFmtId="0" fontId="3" fillId="16" borderId="8" xfId="0" applyFont="1" applyFill="1" applyBorder="1"/>
    <xf numFmtId="164" fontId="3" fillId="16" borderId="8" xfId="0" applyNumberFormat="1" applyFont="1" applyFill="1" applyBorder="1"/>
    <xf numFmtId="1" fontId="3" fillId="16" borderId="9" xfId="0" applyNumberFormat="1" applyFont="1" applyFill="1" applyBorder="1"/>
    <xf numFmtId="9" fontId="3" fillId="16" borderId="10" xfId="1" applyFont="1" applyFill="1" applyBorder="1"/>
    <xf numFmtId="0" fontId="4" fillId="0" borderId="8" xfId="2" applyFont="1" applyBorder="1" applyAlignment="1">
      <alignment horizontal="center" vertical="center"/>
    </xf>
    <xf numFmtId="0" fontId="4" fillId="0" borderId="13" xfId="2" applyFont="1" applyBorder="1" applyAlignment="1">
      <alignment horizontal="center" vertical="center"/>
    </xf>
    <xf numFmtId="0" fontId="0" fillId="12" borderId="22" xfId="0" applyFill="1" applyBorder="1"/>
    <xf numFmtId="0" fontId="36" fillId="12" borderId="0" xfId="0" applyFont="1" applyFill="1" applyBorder="1"/>
    <xf numFmtId="0" fontId="13" fillId="12" borderId="0" xfId="0" applyFont="1" applyFill="1" applyBorder="1"/>
    <xf numFmtId="0" fontId="4" fillId="12" borderId="0" xfId="0" applyFont="1" applyFill="1" applyBorder="1"/>
    <xf numFmtId="0" fontId="4" fillId="12" borderId="1" xfId="2" applyFont="1" applyFill="1" applyBorder="1"/>
    <xf numFmtId="0" fontId="4" fillId="12" borderId="3" xfId="2" applyFont="1" applyFill="1" applyBorder="1"/>
    <xf numFmtId="0" fontId="4" fillId="12" borderId="6" xfId="2" applyFont="1" applyFill="1" applyBorder="1"/>
    <xf numFmtId="0" fontId="4" fillId="12" borderId="8" xfId="2" applyFont="1" applyFill="1" applyBorder="1"/>
    <xf numFmtId="0" fontId="4" fillId="12" borderId="8" xfId="2" applyFont="1" applyFill="1" applyBorder="1" applyAlignment="1">
      <alignment horizontal="center" vertical="center"/>
    </xf>
    <xf numFmtId="0" fontId="4" fillId="12" borderId="8" xfId="2" applyFont="1" applyFill="1" applyBorder="1" applyAlignment="1">
      <alignment horizontal="left" vertical="center"/>
    </xf>
    <xf numFmtId="0" fontId="4" fillId="12" borderId="11" xfId="2" applyFont="1" applyFill="1" applyBorder="1"/>
    <xf numFmtId="0" fontId="4" fillId="12" borderId="13" xfId="2" applyFont="1" applyFill="1" applyBorder="1"/>
    <xf numFmtId="0" fontId="4" fillId="12" borderId="13" xfId="2" applyFont="1" applyFill="1" applyBorder="1" applyAlignment="1">
      <alignment horizontal="center" vertical="center"/>
    </xf>
    <xf numFmtId="0" fontId="4" fillId="12" borderId="13" xfId="2" applyFont="1" applyFill="1" applyBorder="1" applyAlignment="1">
      <alignment horizontal="left" vertical="center"/>
    </xf>
    <xf numFmtId="0" fontId="3" fillId="0" borderId="34" xfId="0" applyFont="1" applyBorder="1"/>
    <xf numFmtId="0" fontId="18" fillId="0" borderId="33" xfId="0" applyFont="1" applyBorder="1"/>
    <xf numFmtId="0" fontId="4" fillId="0" borderId="6" xfId="2" applyFont="1" applyBorder="1" applyAlignment="1">
      <alignment vertical="center"/>
    </xf>
    <xf numFmtId="0" fontId="4" fillId="0" borderId="8" xfId="2" applyFont="1" applyBorder="1" applyAlignment="1">
      <alignment vertical="center"/>
    </xf>
    <xf numFmtId="0" fontId="4" fillId="0" borderId="6" xfId="2" applyFont="1" applyBorder="1" applyAlignment="1">
      <alignment horizontal="right" vertical="center"/>
    </xf>
    <xf numFmtId="0" fontId="4" fillId="0" borderId="36" xfId="2" applyFont="1" applyBorder="1"/>
    <xf numFmtId="0" fontId="4" fillId="0" borderId="37" xfId="2" applyFont="1" applyBorder="1"/>
    <xf numFmtId="0" fontId="4" fillId="0" borderId="37" xfId="2" applyFont="1" applyBorder="1" applyAlignment="1">
      <alignment horizontal="center" vertical="center"/>
    </xf>
    <xf numFmtId="0" fontId="4" fillId="0" borderId="37" xfId="2" applyFont="1" applyBorder="1" applyAlignment="1">
      <alignment horizontal="left" vertical="center"/>
    </xf>
    <xf numFmtId="0" fontId="38" fillId="0" borderId="39" xfId="2" applyFont="1" applyBorder="1" applyAlignment="1">
      <alignment horizontal="left"/>
    </xf>
    <xf numFmtId="0" fontId="38" fillId="0" borderId="17" xfId="2" applyFont="1" applyBorder="1" applyAlignment="1">
      <alignment horizontal="left"/>
    </xf>
    <xf numFmtId="0" fontId="4" fillId="0" borderId="9" xfId="2" applyFont="1" applyBorder="1" applyAlignment="1">
      <alignment horizontal="center" vertical="center"/>
    </xf>
    <xf numFmtId="0" fontId="4" fillId="0" borderId="39" xfId="2" applyFont="1" applyBorder="1" applyAlignment="1">
      <alignment horizontal="center" vertical="center"/>
    </xf>
    <xf numFmtId="0" fontId="4" fillId="0" borderId="0" xfId="2" applyFont="1" applyBorder="1"/>
    <xf numFmtId="0" fontId="4" fillId="0" borderId="0" xfId="2" applyFont="1" applyBorder="1" applyAlignment="1">
      <alignment horizontal="center" vertical="center"/>
    </xf>
    <xf numFmtId="0" fontId="4" fillId="0" borderId="0" xfId="2" applyFont="1" applyBorder="1" applyAlignment="1">
      <alignment horizontal="left" vertical="center"/>
    </xf>
    <xf numFmtId="0" fontId="36" fillId="0" borderId="0" xfId="2" applyFont="1" applyBorder="1" applyAlignment="1">
      <alignment horizontal="left" vertical="center"/>
    </xf>
    <xf numFmtId="0" fontId="4" fillId="0" borderId="0" xfId="2" applyFont="1" applyBorder="1" applyAlignment="1">
      <alignment horizontal="left"/>
    </xf>
    <xf numFmtId="0" fontId="7" fillId="0" borderId="33" xfId="0" applyFont="1" applyBorder="1"/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9" fillId="0" borderId="8" xfId="0" applyFont="1" applyBorder="1" applyAlignment="1">
      <alignment horizontal="center" vertical="center"/>
    </xf>
    <xf numFmtId="0" fontId="38" fillId="0" borderId="0" xfId="2" applyFont="1" applyBorder="1" applyAlignment="1">
      <alignment horizontal="left"/>
    </xf>
    <xf numFmtId="0" fontId="4" fillId="17" borderId="6" xfId="2" applyFont="1" applyFill="1" applyBorder="1"/>
    <xf numFmtId="0" fontId="4" fillId="17" borderId="8" xfId="2" applyFont="1" applyFill="1" applyBorder="1"/>
    <xf numFmtId="0" fontId="4" fillId="17" borderId="8" xfId="2" applyFont="1" applyFill="1" applyBorder="1" applyAlignment="1">
      <alignment horizontal="center" vertical="center"/>
    </xf>
    <xf numFmtId="0" fontId="4" fillId="17" borderId="8" xfId="2" applyFont="1" applyFill="1" applyBorder="1" applyAlignment="1">
      <alignment horizontal="left" vertical="center"/>
    </xf>
    <xf numFmtId="0" fontId="8" fillId="0" borderId="0" xfId="0" applyFont="1" applyBorder="1"/>
    <xf numFmtId="0" fontId="7" fillId="0" borderId="0" xfId="0" applyFont="1" applyBorder="1"/>
    <xf numFmtId="0" fontId="9" fillId="0" borderId="22" xfId="0" applyFont="1" applyBorder="1" applyAlignment="1">
      <alignment horizontal="center"/>
    </xf>
    <xf numFmtId="0" fontId="9" fillId="0" borderId="0" xfId="0" applyFont="1" applyBorder="1" applyAlignment="1">
      <alignment horizontal="center"/>
    </xf>
    <xf numFmtId="0" fontId="9" fillId="0" borderId="23" xfId="0" applyFont="1" applyBorder="1" applyAlignment="1">
      <alignment horizontal="center"/>
    </xf>
    <xf numFmtId="0" fontId="19" fillId="0" borderId="22" xfId="0" applyFont="1" applyBorder="1" applyAlignment="1">
      <alignment horizontal="center" vertical="center"/>
    </xf>
    <xf numFmtId="0" fontId="19" fillId="0" borderId="0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0" fontId="21" fillId="4" borderId="19" xfId="0" applyFont="1" applyFill="1" applyBorder="1" applyAlignment="1">
      <alignment horizontal="center" vertical="center" wrapText="1"/>
    </xf>
    <xf numFmtId="0" fontId="21" fillId="4" borderId="21" xfId="0" applyFont="1" applyFill="1" applyBorder="1" applyAlignment="1">
      <alignment horizontal="center" vertical="center" wrapText="1"/>
    </xf>
    <xf numFmtId="0" fontId="21" fillId="4" borderId="24" xfId="0" applyFont="1" applyFill="1" applyBorder="1" applyAlignment="1">
      <alignment horizontal="center" vertical="center" wrapText="1"/>
    </xf>
    <xf numFmtId="0" fontId="21" fillId="4" borderId="26" xfId="0" applyFont="1" applyFill="1" applyBorder="1" applyAlignment="1">
      <alignment horizontal="center" vertical="center" wrapText="1"/>
    </xf>
    <xf numFmtId="0" fontId="22" fillId="4" borderId="19" xfId="0" applyFont="1" applyFill="1" applyBorder="1" applyAlignment="1">
      <alignment horizontal="center" vertical="center"/>
    </xf>
    <xf numFmtId="0" fontId="22" fillId="4" borderId="20" xfId="0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0" fontId="22" fillId="4" borderId="24" xfId="0" applyFont="1" applyFill="1" applyBorder="1" applyAlignment="1">
      <alignment horizontal="center" vertical="center"/>
    </xf>
    <xf numFmtId="0" fontId="22" fillId="4" borderId="25" xfId="0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4" fontId="3" fillId="4" borderId="4" xfId="0" applyNumberFormat="1" applyFont="1" applyFill="1" applyBorder="1" applyAlignment="1">
      <alignment horizontal="center" vertical="center"/>
    </xf>
    <xf numFmtId="14" fontId="3" fillId="4" borderId="27" xfId="0" applyNumberFormat="1" applyFont="1" applyFill="1" applyBorder="1" applyAlignment="1">
      <alignment horizontal="center" vertical="center"/>
    </xf>
    <xf numFmtId="14" fontId="3" fillId="4" borderId="14" xfId="0" applyNumberFormat="1" applyFont="1" applyFill="1" applyBorder="1" applyAlignment="1">
      <alignment horizontal="center" vertical="center"/>
    </xf>
    <xf numFmtId="14" fontId="3" fillId="4" borderId="28" xfId="0" applyNumberFormat="1" applyFont="1" applyFill="1" applyBorder="1" applyAlignment="1">
      <alignment horizontal="center" vertical="center"/>
    </xf>
    <xf numFmtId="0" fontId="27" fillId="15" borderId="19" xfId="0" applyFont="1" applyFill="1" applyBorder="1" applyAlignment="1">
      <alignment horizontal="center" vertical="center"/>
    </xf>
    <xf numFmtId="0" fontId="27" fillId="15" borderId="20" xfId="0" applyFont="1" applyFill="1" applyBorder="1" applyAlignment="1">
      <alignment horizontal="center" vertical="center"/>
    </xf>
    <xf numFmtId="0" fontId="27" fillId="15" borderId="21" xfId="0" applyFont="1" applyFill="1" applyBorder="1" applyAlignment="1">
      <alignment horizontal="center" vertical="center"/>
    </xf>
    <xf numFmtId="0" fontId="27" fillId="15" borderId="22" xfId="0" applyFont="1" applyFill="1" applyBorder="1" applyAlignment="1">
      <alignment horizontal="center" vertical="center"/>
    </xf>
    <xf numFmtId="0" fontId="27" fillId="15" borderId="0" xfId="0" applyFont="1" applyFill="1" applyBorder="1" applyAlignment="1">
      <alignment horizontal="center" vertical="center"/>
    </xf>
    <xf numFmtId="0" fontId="27" fillId="15" borderId="23" xfId="0" applyFont="1" applyFill="1" applyBorder="1" applyAlignment="1">
      <alignment horizontal="center" vertical="center"/>
    </xf>
    <xf numFmtId="0" fontId="27" fillId="15" borderId="24" xfId="0" applyFont="1" applyFill="1" applyBorder="1" applyAlignment="1">
      <alignment horizontal="center" vertical="center"/>
    </xf>
    <xf numFmtId="0" fontId="27" fillId="15" borderId="25" xfId="0" applyFont="1" applyFill="1" applyBorder="1" applyAlignment="1">
      <alignment horizontal="center" vertical="center"/>
    </xf>
    <xf numFmtId="0" fontId="27" fillId="15" borderId="26" xfId="0" applyFont="1" applyFill="1" applyBorder="1" applyAlignment="1">
      <alignment horizontal="center" vertical="center"/>
    </xf>
    <xf numFmtId="0" fontId="29" fillId="0" borderId="19" xfId="0" applyFont="1" applyBorder="1" applyAlignment="1">
      <alignment horizontal="center" vertical="center"/>
    </xf>
    <xf numFmtId="0" fontId="29" fillId="0" borderId="20" xfId="0" applyFont="1" applyBorder="1" applyAlignment="1">
      <alignment horizontal="center" vertical="center"/>
    </xf>
    <xf numFmtId="0" fontId="29" fillId="0" borderId="21" xfId="0" applyFont="1" applyBorder="1" applyAlignment="1">
      <alignment horizontal="center" vertical="center"/>
    </xf>
    <xf numFmtId="0" fontId="29" fillId="0" borderId="22" xfId="0" applyFont="1" applyBorder="1" applyAlignment="1">
      <alignment horizontal="center" vertical="center"/>
    </xf>
    <xf numFmtId="0" fontId="29" fillId="0" borderId="0" xfId="0" applyFont="1" applyBorder="1" applyAlignment="1">
      <alignment horizontal="center" vertical="center"/>
    </xf>
    <xf numFmtId="0" fontId="29" fillId="0" borderId="23" xfId="0" applyFont="1" applyBorder="1" applyAlignment="1">
      <alignment horizontal="center" vertical="center"/>
    </xf>
    <xf numFmtId="0" fontId="29" fillId="0" borderId="24" xfId="0" applyFont="1" applyBorder="1" applyAlignment="1">
      <alignment horizontal="center" vertical="center"/>
    </xf>
    <xf numFmtId="0" fontId="29" fillId="0" borderId="25" xfId="0" applyFont="1" applyBorder="1" applyAlignment="1">
      <alignment horizontal="center" vertical="center"/>
    </xf>
    <xf numFmtId="0" fontId="29" fillId="0" borderId="26" xfId="0" applyFont="1" applyBorder="1" applyAlignment="1">
      <alignment horizontal="center" vertical="center"/>
    </xf>
    <xf numFmtId="0" fontId="3" fillId="4" borderId="29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center" vertical="center"/>
    </xf>
    <xf numFmtId="0" fontId="3" fillId="4" borderId="30" xfId="0" applyFont="1" applyFill="1" applyBorder="1" applyAlignment="1">
      <alignment horizontal="center" vertical="center"/>
    </xf>
    <xf numFmtId="0" fontId="3" fillId="4" borderId="31" xfId="0" applyFont="1" applyFill="1" applyBorder="1" applyAlignment="1">
      <alignment horizontal="center" vertical="center"/>
    </xf>
    <xf numFmtId="0" fontId="3" fillId="4" borderId="18" xfId="0" applyFont="1" applyFill="1" applyBorder="1" applyAlignment="1">
      <alignment horizontal="center" vertical="center"/>
    </xf>
    <xf numFmtId="0" fontId="3" fillId="4" borderId="32" xfId="0" applyFont="1" applyFill="1" applyBorder="1" applyAlignment="1">
      <alignment horizontal="center" vertical="center"/>
    </xf>
    <xf numFmtId="0" fontId="30" fillId="13" borderId="0" xfId="3" applyFont="1" applyFill="1" applyBorder="1" applyAlignment="1">
      <alignment horizontal="center"/>
    </xf>
    <xf numFmtId="0" fontId="31" fillId="13" borderId="0" xfId="3" applyFont="1" applyFill="1" applyBorder="1" applyAlignment="1">
      <alignment horizontal="center"/>
    </xf>
    <xf numFmtId="0" fontId="7" fillId="4" borderId="19" xfId="0" applyFont="1" applyFill="1" applyBorder="1" applyAlignment="1">
      <alignment horizontal="center" vertical="center" wrapText="1"/>
    </xf>
    <xf numFmtId="0" fontId="7" fillId="4" borderId="21" xfId="0" applyFont="1" applyFill="1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vertical="center" wrapText="1"/>
    </xf>
    <xf numFmtId="0" fontId="7" fillId="4" borderId="26" xfId="0" applyFont="1" applyFill="1" applyBorder="1" applyAlignment="1">
      <alignment horizontal="center" vertical="center" wrapText="1"/>
    </xf>
    <xf numFmtId="0" fontId="5" fillId="4" borderId="19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4" borderId="24" xfId="0" applyFont="1" applyFill="1" applyBorder="1" applyAlignment="1">
      <alignment horizontal="center" vertical="center"/>
    </xf>
    <xf numFmtId="0" fontId="5" fillId="4" borderId="25" xfId="0" applyFont="1" applyFill="1" applyBorder="1" applyAlignment="1">
      <alignment horizontal="center" vertical="center"/>
    </xf>
    <xf numFmtId="0" fontId="37" fillId="13" borderId="0" xfId="3" applyFont="1" applyFill="1" applyBorder="1" applyAlignment="1">
      <alignment horizontal="center"/>
    </xf>
    <xf numFmtId="0" fontId="3" fillId="4" borderId="19" xfId="0" applyFont="1" applyFill="1" applyBorder="1" applyAlignment="1">
      <alignment horizontal="center" vertical="center"/>
    </xf>
    <xf numFmtId="0" fontId="3" fillId="4" borderId="21" xfId="0" applyFont="1" applyFill="1" applyBorder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23" fillId="0" borderId="20" xfId="0" applyFont="1" applyBorder="1" applyAlignment="1">
      <alignment horizontal="center" vertical="center"/>
    </xf>
    <xf numFmtId="0" fontId="23" fillId="0" borderId="21" xfId="0" applyFont="1" applyBorder="1" applyAlignment="1">
      <alignment horizontal="center" vertical="center"/>
    </xf>
    <xf numFmtId="0" fontId="23" fillId="0" borderId="22" xfId="0" applyFont="1" applyBorder="1" applyAlignment="1">
      <alignment horizontal="center" vertical="center"/>
    </xf>
    <xf numFmtId="0" fontId="23" fillId="0" borderId="0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/>
    </xf>
    <xf numFmtId="0" fontId="23" fillId="0" borderId="24" xfId="0" applyFont="1" applyBorder="1" applyAlignment="1">
      <alignment horizontal="center" vertical="center"/>
    </xf>
    <xf numFmtId="0" fontId="23" fillId="0" borderId="25" xfId="0" applyFont="1" applyBorder="1" applyAlignment="1">
      <alignment horizontal="center" vertical="center"/>
    </xf>
    <xf numFmtId="0" fontId="23" fillId="0" borderId="26" xfId="0" applyFont="1" applyBorder="1" applyAlignment="1">
      <alignment horizontal="center" vertical="center"/>
    </xf>
    <xf numFmtId="0" fontId="38" fillId="0" borderId="9" xfId="2" applyFont="1" applyBorder="1" applyAlignment="1">
      <alignment horizontal="left"/>
    </xf>
    <xf numFmtId="0" fontId="38" fillId="0" borderId="7" xfId="2" applyFont="1" applyBorder="1" applyAlignment="1">
      <alignment horizontal="left"/>
    </xf>
    <xf numFmtId="0" fontId="36" fillId="0" borderId="8" xfId="2" applyFont="1" applyBorder="1" applyAlignment="1">
      <alignment horizontal="left" vertical="center"/>
    </xf>
    <xf numFmtId="0" fontId="36" fillId="0" borderId="10" xfId="2" applyFont="1" applyBorder="1" applyAlignment="1">
      <alignment horizontal="left" vertical="center"/>
    </xf>
    <xf numFmtId="0" fontId="4" fillId="0" borderId="14" xfId="2" applyFont="1" applyBorder="1" applyAlignment="1">
      <alignment horizontal="left"/>
    </xf>
    <xf numFmtId="0" fontId="4" fillId="0" borderId="12" xfId="2" applyFont="1" applyBorder="1" applyAlignment="1">
      <alignment horizontal="left"/>
    </xf>
    <xf numFmtId="0" fontId="36" fillId="0" borderId="13" xfId="2" applyFont="1" applyBorder="1" applyAlignment="1">
      <alignment horizontal="left" vertical="center"/>
    </xf>
    <xf numFmtId="0" fontId="36" fillId="0" borderId="15" xfId="2" applyFont="1" applyBorder="1" applyAlignment="1">
      <alignment horizontal="left" vertical="center"/>
    </xf>
    <xf numFmtId="0" fontId="4" fillId="5" borderId="4" xfId="2" applyFont="1" applyFill="1" applyBorder="1" applyAlignment="1">
      <alignment horizontal="left"/>
    </xf>
    <xf numFmtId="0" fontId="4" fillId="5" borderId="2" xfId="2" applyFont="1" applyFill="1" applyBorder="1" applyAlignment="1">
      <alignment horizontal="left"/>
    </xf>
    <xf numFmtId="0" fontId="4" fillId="5" borderId="3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38" fillId="0" borderId="9" xfId="2" applyFont="1" applyBorder="1" applyAlignment="1">
      <alignment horizontal="left" vertical="center"/>
    </xf>
    <xf numFmtId="0" fontId="38" fillId="0" borderId="7" xfId="2" applyFont="1" applyBorder="1" applyAlignment="1">
      <alignment horizontal="left" vertical="center"/>
    </xf>
    <xf numFmtId="0" fontId="36" fillId="0" borderId="8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 wrapText="1"/>
    </xf>
    <xf numFmtId="0" fontId="36" fillId="0" borderId="42" xfId="2" applyFont="1" applyBorder="1" applyAlignment="1">
      <alignment horizontal="left" vertical="center"/>
    </xf>
    <xf numFmtId="0" fontId="36" fillId="0" borderId="44" xfId="2" applyFont="1" applyBorder="1" applyAlignment="1">
      <alignment horizontal="left" vertical="center"/>
    </xf>
    <xf numFmtId="0" fontId="38" fillId="0" borderId="14" xfId="2" applyFont="1" applyBorder="1" applyAlignment="1">
      <alignment horizontal="left"/>
    </xf>
    <xf numFmtId="0" fontId="38" fillId="0" borderId="12" xfId="2" applyFont="1" applyBorder="1" applyAlignment="1">
      <alignment horizontal="left"/>
    </xf>
    <xf numFmtId="0" fontId="38" fillId="0" borderId="9" xfId="2" applyFont="1" applyBorder="1" applyAlignment="1"/>
    <xf numFmtId="0" fontId="38" fillId="0" borderId="7" xfId="2" applyFont="1" applyBorder="1" applyAlignment="1"/>
    <xf numFmtId="0" fontId="4" fillId="0" borderId="9" xfId="2" applyFont="1" applyBorder="1" applyAlignment="1">
      <alignment horizontal="left"/>
    </xf>
    <xf numFmtId="0" fontId="4" fillId="0" borderId="7" xfId="2" applyFont="1" applyBorder="1" applyAlignment="1">
      <alignment horizontal="left"/>
    </xf>
    <xf numFmtId="0" fontId="38" fillId="17" borderId="9" xfId="2" applyFont="1" applyFill="1" applyBorder="1" applyAlignment="1">
      <alignment horizontal="left"/>
    </xf>
    <xf numFmtId="0" fontId="38" fillId="17" borderId="7" xfId="2" applyFont="1" applyFill="1" applyBorder="1" applyAlignment="1">
      <alignment horizontal="left"/>
    </xf>
    <xf numFmtId="0" fontId="36" fillId="17" borderId="8" xfId="2" applyFont="1" applyFill="1" applyBorder="1" applyAlignment="1">
      <alignment horizontal="left" vertical="center"/>
    </xf>
    <xf numFmtId="0" fontId="36" fillId="17" borderId="10" xfId="2" applyFont="1" applyFill="1" applyBorder="1" applyAlignment="1">
      <alignment horizontal="left" vertical="center"/>
    </xf>
    <xf numFmtId="0" fontId="4" fillId="12" borderId="9" xfId="2" applyFont="1" applyFill="1" applyBorder="1" applyAlignment="1">
      <alignment horizontal="left"/>
    </xf>
    <xf numFmtId="0" fontId="4" fillId="12" borderId="7" xfId="2" applyFont="1" applyFill="1" applyBorder="1" applyAlignment="1">
      <alignment horizontal="left"/>
    </xf>
    <xf numFmtId="0" fontId="36" fillId="12" borderId="8" xfId="2" applyFont="1" applyFill="1" applyBorder="1" applyAlignment="1">
      <alignment horizontal="left" vertical="center"/>
    </xf>
    <xf numFmtId="0" fontId="36" fillId="12" borderId="10" xfId="2" applyFont="1" applyFill="1" applyBorder="1" applyAlignment="1">
      <alignment horizontal="left" vertical="center"/>
    </xf>
    <xf numFmtId="0" fontId="4" fillId="12" borderId="14" xfId="2" applyFont="1" applyFill="1" applyBorder="1" applyAlignment="1">
      <alignment horizontal="left"/>
    </xf>
    <xf numFmtId="0" fontId="4" fillId="12" borderId="12" xfId="2" applyFont="1" applyFill="1" applyBorder="1" applyAlignment="1">
      <alignment horizontal="left"/>
    </xf>
    <xf numFmtId="0" fontId="36" fillId="12" borderId="13" xfId="2" applyFont="1" applyFill="1" applyBorder="1" applyAlignment="1">
      <alignment horizontal="left" vertical="center"/>
    </xf>
    <xf numFmtId="0" fontId="36" fillId="12" borderId="15" xfId="2" applyFont="1" applyFill="1" applyBorder="1" applyAlignment="1">
      <alignment horizontal="left" vertical="center"/>
    </xf>
    <xf numFmtId="0" fontId="4" fillId="12" borderId="4" xfId="2" applyFont="1" applyFill="1" applyBorder="1" applyAlignment="1">
      <alignment horizontal="left"/>
    </xf>
    <xf numFmtId="0" fontId="4" fillId="12" borderId="2" xfId="2" applyFont="1" applyFill="1" applyBorder="1" applyAlignment="1">
      <alignment horizontal="left"/>
    </xf>
    <xf numFmtId="0" fontId="4" fillId="12" borderId="3" xfId="2" applyFont="1" applyFill="1" applyBorder="1" applyAlignment="1">
      <alignment horizontal="center"/>
    </xf>
    <xf numFmtId="0" fontId="4" fillId="12" borderId="5" xfId="2" applyFont="1" applyFill="1" applyBorder="1" applyAlignment="1">
      <alignment horizontal="center"/>
    </xf>
    <xf numFmtId="0" fontId="36" fillId="0" borderId="39" xfId="2" applyFont="1" applyBorder="1" applyAlignment="1">
      <alignment horizontal="left" vertical="center"/>
    </xf>
    <xf numFmtId="0" fontId="36" fillId="0" borderId="16" xfId="2" applyFont="1" applyBorder="1" applyAlignment="1">
      <alignment horizontal="left" vertical="center"/>
    </xf>
    <xf numFmtId="0" fontId="36" fillId="0" borderId="30" xfId="2" applyFont="1" applyBorder="1" applyAlignment="1">
      <alignment horizontal="left" vertical="center"/>
    </xf>
    <xf numFmtId="0" fontId="36" fillId="0" borderId="9" xfId="2" applyFont="1" applyBorder="1" applyAlignment="1">
      <alignment horizontal="left" vertical="center"/>
    </xf>
    <xf numFmtId="0" fontId="36" fillId="0" borderId="45" xfId="2" applyFont="1" applyBorder="1" applyAlignment="1">
      <alignment horizontal="left" vertical="center"/>
    </xf>
    <xf numFmtId="0" fontId="36" fillId="0" borderId="46" xfId="2" applyFont="1" applyBorder="1" applyAlignment="1">
      <alignment horizontal="left" vertical="center"/>
    </xf>
    <xf numFmtId="0" fontId="36" fillId="0" borderId="43" xfId="2" applyFont="1" applyBorder="1" applyAlignment="1">
      <alignment horizontal="left" vertical="center"/>
    </xf>
    <xf numFmtId="0" fontId="36" fillId="0" borderId="18" xfId="2" applyFont="1" applyBorder="1" applyAlignment="1">
      <alignment horizontal="left" vertical="center"/>
    </xf>
    <xf numFmtId="0" fontId="36" fillId="0" borderId="32" xfId="2" applyFont="1" applyBorder="1" applyAlignment="1">
      <alignment horizontal="left" vertical="center"/>
    </xf>
    <xf numFmtId="0" fontId="36" fillId="0" borderId="9" xfId="2" applyFont="1" applyBorder="1" applyAlignment="1">
      <alignment vertical="center"/>
    </xf>
    <xf numFmtId="0" fontId="36" fillId="0" borderId="45" xfId="2" applyFont="1" applyBorder="1" applyAlignment="1">
      <alignment vertical="center"/>
    </xf>
    <xf numFmtId="0" fontId="36" fillId="0" borderId="46" xfId="2" applyFont="1" applyBorder="1" applyAlignment="1">
      <alignment vertical="center"/>
    </xf>
    <xf numFmtId="0" fontId="36" fillId="0" borderId="8" xfId="2" applyFont="1" applyBorder="1" applyAlignment="1">
      <alignment vertical="center"/>
    </xf>
    <xf numFmtId="0" fontId="36" fillId="0" borderId="10" xfId="2" applyFont="1" applyBorder="1" applyAlignment="1">
      <alignment vertical="center"/>
    </xf>
    <xf numFmtId="0" fontId="36" fillId="0" borderId="8" xfId="2" applyFont="1" applyBorder="1" applyAlignment="1">
      <alignment vertical="top" wrapText="1"/>
    </xf>
    <xf numFmtId="0" fontId="36" fillId="0" borderId="8" xfId="2" applyFont="1" applyBorder="1" applyAlignment="1">
      <alignment vertical="top"/>
    </xf>
    <xf numFmtId="0" fontId="36" fillId="0" borderId="10" xfId="2" applyFont="1" applyBorder="1" applyAlignment="1">
      <alignment vertical="top"/>
    </xf>
    <xf numFmtId="0" fontId="36" fillId="0" borderId="9" xfId="2" applyFont="1" applyBorder="1" applyAlignment="1">
      <alignment horizontal="center" vertical="center"/>
    </xf>
    <xf numFmtId="0" fontId="36" fillId="0" borderId="45" xfId="2" applyFont="1" applyBorder="1" applyAlignment="1">
      <alignment horizontal="center" vertical="center"/>
    </xf>
    <xf numFmtId="0" fontId="36" fillId="0" borderId="46" xfId="2" applyFont="1" applyBorder="1" applyAlignment="1">
      <alignment horizontal="center" vertical="center"/>
    </xf>
    <xf numFmtId="0" fontId="36" fillId="0" borderId="13" xfId="2" applyFont="1" applyBorder="1" applyAlignment="1">
      <alignment vertical="center"/>
    </xf>
    <xf numFmtId="0" fontId="36" fillId="0" borderId="15" xfId="2" applyFont="1" applyBorder="1" applyAlignment="1">
      <alignment vertical="center"/>
    </xf>
    <xf numFmtId="0" fontId="36" fillId="0" borderId="39" xfId="2" applyFont="1" applyBorder="1" applyAlignment="1">
      <alignment vertical="center"/>
    </xf>
    <xf numFmtId="0" fontId="36" fillId="0" borderId="16" xfId="2" applyFont="1" applyBorder="1" applyAlignment="1">
      <alignment vertical="center"/>
    </xf>
    <xf numFmtId="0" fontId="36" fillId="0" borderId="30" xfId="2" applyFont="1" applyBorder="1" applyAlignment="1">
      <alignment vertical="center"/>
    </xf>
  </cellXfs>
  <cellStyles count="4">
    <cellStyle name="Hyperlink" xfId="3" builtinId="8"/>
    <cellStyle name="Normal" xfId="0" builtinId="0"/>
    <cellStyle name="Normal 2" xfId="2" xr:uid="{76F8BE7E-A17D-4841-8708-19CACA60730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622300</xdr:colOff>
      <xdr:row>10</xdr:row>
      <xdr:rowOff>101600</xdr:rowOff>
    </xdr:from>
    <xdr:to>
      <xdr:col>9</xdr:col>
      <xdr:colOff>50800</xdr:colOff>
      <xdr:row>23</xdr:row>
      <xdr:rowOff>190500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E7E9AB9-086D-3949-9E93-78DC589978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43400" y="2133600"/>
          <a:ext cx="2730500" cy="2730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88900</xdr:colOff>
      <xdr:row>24</xdr:row>
      <xdr:rowOff>25400</xdr:rowOff>
    </xdr:from>
    <xdr:to>
      <xdr:col>14</xdr:col>
      <xdr:colOff>711200</xdr:colOff>
      <xdr:row>27</xdr:row>
      <xdr:rowOff>177800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E5AD2A38-EEB3-DF45-BD2E-513C909C074B}"/>
            </a:ext>
          </a:extLst>
        </xdr:cNvPr>
        <xdr:cNvSpPr/>
      </xdr:nvSpPr>
      <xdr:spPr>
        <a:xfrm>
          <a:off x="10820400" y="5715000"/>
          <a:ext cx="153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8</xdr:col>
      <xdr:colOff>241300</xdr:colOff>
      <xdr:row>32</xdr:row>
      <xdr:rowOff>152400</xdr:rowOff>
    </xdr:from>
    <xdr:to>
      <xdr:col>10</xdr:col>
      <xdr:colOff>38100</xdr:colOff>
      <xdr:row>36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E7CBCA0C-C353-1E48-9A49-0EDF02B3FF03}"/>
            </a:ext>
          </a:extLst>
        </xdr:cNvPr>
        <xdr:cNvSpPr/>
      </xdr:nvSpPr>
      <xdr:spPr>
        <a:xfrm>
          <a:off x="6845300" y="7480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Buy Coin</a:t>
          </a:r>
        </a:p>
      </xdr:txBody>
    </xdr:sp>
    <xdr:clientData/>
  </xdr:twoCellAnchor>
  <xdr:twoCellAnchor>
    <xdr:from>
      <xdr:col>8</xdr:col>
      <xdr:colOff>736600</xdr:colOff>
      <xdr:row>23</xdr:row>
      <xdr:rowOff>215900</xdr:rowOff>
    </xdr:from>
    <xdr:to>
      <xdr:col>9</xdr:col>
      <xdr:colOff>393700</xdr:colOff>
      <xdr:row>27</xdr:row>
      <xdr:rowOff>63500</xdr:rowOff>
    </xdr:to>
    <xdr:grpSp>
      <xdr:nvGrpSpPr>
        <xdr:cNvPr id="21" name="Group 20">
          <a:extLst>
            <a:ext uri="{FF2B5EF4-FFF2-40B4-BE49-F238E27FC236}">
              <a16:creationId xmlns:a16="http://schemas.microsoft.com/office/drawing/2014/main" id="{BE352534-7782-FA40-9CF9-E3625A3000AC}"/>
            </a:ext>
          </a:extLst>
        </xdr:cNvPr>
        <xdr:cNvGrpSpPr/>
      </xdr:nvGrpSpPr>
      <xdr:grpSpPr>
        <a:xfrm>
          <a:off x="7340600" y="5600700"/>
          <a:ext cx="482600" cy="762000"/>
          <a:chOff x="8382000" y="5257800"/>
          <a:chExt cx="482600" cy="660400"/>
        </a:xfrm>
        <a:solidFill>
          <a:schemeClr val="tx1"/>
        </a:solidFill>
      </xdr:grpSpPr>
      <xdr:sp macro="" textlink="">
        <xdr:nvSpPr>
          <xdr:cNvPr id="18" name="Delay 17">
            <a:extLst>
              <a:ext uri="{FF2B5EF4-FFF2-40B4-BE49-F238E27FC236}">
                <a16:creationId xmlns:a16="http://schemas.microsoft.com/office/drawing/2014/main" id="{0274A826-C295-C448-B70F-8BD31CE246B5}"/>
              </a:ext>
            </a:extLst>
          </xdr:cNvPr>
          <xdr:cNvSpPr/>
        </xdr:nvSpPr>
        <xdr:spPr>
          <a:xfrm rot="16200000">
            <a:off x="8413750" y="5467350"/>
            <a:ext cx="419100" cy="482600"/>
          </a:xfrm>
          <a:prstGeom prst="flowChartDelay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20" name="Oval 19">
            <a:extLst>
              <a:ext uri="{FF2B5EF4-FFF2-40B4-BE49-F238E27FC236}">
                <a16:creationId xmlns:a16="http://schemas.microsoft.com/office/drawing/2014/main" id="{F627C2D7-8C1A-E84C-8145-511C3A6C5ECD}"/>
              </a:ext>
            </a:extLst>
          </xdr:cNvPr>
          <xdr:cNvSpPr/>
        </xdr:nvSpPr>
        <xdr:spPr>
          <a:xfrm>
            <a:off x="8470900" y="5257800"/>
            <a:ext cx="317500" cy="317500"/>
          </a:xfrm>
          <a:prstGeom prst="ellipse">
            <a:avLst/>
          </a:prstGeom>
          <a:grpFill/>
        </xdr:spPr>
        <xdr:style>
          <a:lnRef idx="2">
            <a:schemeClr val="dk1">
              <a:shade val="50000"/>
            </a:schemeClr>
          </a:lnRef>
          <a:fillRef idx="1">
            <a:schemeClr val="dk1"/>
          </a:fillRef>
          <a:effectRef idx="0">
            <a:schemeClr val="dk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  <xdr:twoCellAnchor>
    <xdr:from>
      <xdr:col>10</xdr:col>
      <xdr:colOff>711200</xdr:colOff>
      <xdr:row>31</xdr:row>
      <xdr:rowOff>127000</xdr:rowOff>
    </xdr:from>
    <xdr:to>
      <xdr:col>12</xdr:col>
      <xdr:colOff>469900</xdr:colOff>
      <xdr:row>37</xdr:row>
      <xdr:rowOff>127000</xdr:rowOff>
    </xdr:to>
    <xdr:sp macro="" textlink="">
      <xdr:nvSpPr>
        <xdr:cNvPr id="22" name="Diamond 21">
          <a:extLst>
            <a:ext uri="{FF2B5EF4-FFF2-40B4-BE49-F238E27FC236}">
              <a16:creationId xmlns:a16="http://schemas.microsoft.com/office/drawing/2014/main" id="{A42FCE35-29D1-FC4E-AC45-BFDDE18E7FF6}"/>
            </a:ext>
          </a:extLst>
        </xdr:cNvPr>
        <xdr:cNvSpPr/>
      </xdr:nvSpPr>
      <xdr:spPr>
        <a:xfrm>
          <a:off x="8966200" y="7239000"/>
          <a:ext cx="1409700" cy="12954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13</xdr:col>
      <xdr:colOff>831850</xdr:colOff>
      <xdr:row>27</xdr:row>
      <xdr:rowOff>177800</xdr:rowOff>
    </xdr:from>
    <xdr:to>
      <xdr:col>13</xdr:col>
      <xdr:colOff>857250</xdr:colOff>
      <xdr:row>36</xdr:row>
      <xdr:rowOff>165100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ACD1FA6F-A9F8-F146-8E25-836F6EC50049}"/>
            </a:ext>
          </a:extLst>
        </xdr:cNvPr>
        <xdr:cNvCxnSpPr>
          <a:stCxn id="16" idx="2"/>
          <a:endCxn id="33" idx="0"/>
        </xdr:cNvCxnSpPr>
      </xdr:nvCxnSpPr>
      <xdr:spPr>
        <a:xfrm flipH="1">
          <a:off x="11563350" y="6477000"/>
          <a:ext cx="25400" cy="18796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38100</xdr:colOff>
      <xdr:row>34</xdr:row>
      <xdr:rowOff>101600</xdr:rowOff>
    </xdr:from>
    <xdr:to>
      <xdr:col>10</xdr:col>
      <xdr:colOff>711200</xdr:colOff>
      <xdr:row>34</xdr:row>
      <xdr:rowOff>101600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FB4CFE9B-E97E-804F-86A1-221B3B42C424}"/>
            </a:ext>
          </a:extLst>
        </xdr:cNvPr>
        <xdr:cNvCxnSpPr>
          <a:stCxn id="22" idx="1"/>
          <a:endCxn id="17" idx="3"/>
        </xdr:cNvCxnSpPr>
      </xdr:nvCxnSpPr>
      <xdr:spPr>
        <a:xfrm flipH="1">
          <a:off x="8293100" y="7886700"/>
          <a:ext cx="6731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533400</xdr:colOff>
      <xdr:row>32</xdr:row>
      <xdr:rowOff>165100</xdr:rowOff>
    </xdr:from>
    <xdr:to>
      <xdr:col>4</xdr:col>
      <xdr:colOff>330200</xdr:colOff>
      <xdr:row>36</xdr:row>
      <xdr:rowOff>114300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0A9322D-1A39-1F42-A7E3-5EC25226167A}"/>
            </a:ext>
          </a:extLst>
        </xdr:cNvPr>
        <xdr:cNvSpPr/>
      </xdr:nvSpPr>
      <xdr:spPr>
        <a:xfrm>
          <a:off x="2184400" y="6172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Check Request</a:t>
          </a:r>
        </a:p>
      </xdr:txBody>
    </xdr:sp>
    <xdr:clientData/>
  </xdr:twoCellAnchor>
  <xdr:twoCellAnchor>
    <xdr:from>
      <xdr:col>2</xdr:col>
      <xdr:colOff>508000</xdr:colOff>
      <xdr:row>22</xdr:row>
      <xdr:rowOff>165100</xdr:rowOff>
    </xdr:from>
    <xdr:to>
      <xdr:col>4</xdr:col>
      <xdr:colOff>368300</xdr:colOff>
      <xdr:row>29</xdr:row>
      <xdr:rowOff>76200</xdr:rowOff>
    </xdr:to>
    <xdr:sp macro="" textlink="">
      <xdr:nvSpPr>
        <xdr:cNvPr id="30" name="Diamond 29">
          <a:extLst>
            <a:ext uri="{FF2B5EF4-FFF2-40B4-BE49-F238E27FC236}">
              <a16:creationId xmlns:a16="http://schemas.microsoft.com/office/drawing/2014/main" id="{E975963E-D18E-5D42-A2D5-B9B839D72139}"/>
            </a:ext>
          </a:extLst>
        </xdr:cNvPr>
        <xdr:cNvSpPr/>
      </xdr:nvSpPr>
      <xdr:spPr>
        <a:xfrm>
          <a:off x="2159000" y="4127500"/>
          <a:ext cx="1511300" cy="13335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5</xdr:col>
      <xdr:colOff>304800</xdr:colOff>
      <xdr:row>24</xdr:row>
      <xdr:rowOff>12700</xdr:rowOff>
    </xdr:from>
    <xdr:to>
      <xdr:col>7</xdr:col>
      <xdr:colOff>101600</xdr:colOff>
      <xdr:row>28</xdr:row>
      <xdr:rowOff>12700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6304F716-F72A-A64F-A8CB-58C6B459D471}"/>
            </a:ext>
          </a:extLst>
        </xdr:cNvPr>
        <xdr:cNvSpPr/>
      </xdr:nvSpPr>
      <xdr:spPr>
        <a:xfrm>
          <a:off x="44323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chemeClr val="accent4">
                  <a:lumMod val="60000"/>
                  <a:lumOff val="40000"/>
                </a:schemeClr>
              </a:solidFill>
            </a:rPr>
            <a:t>Add Coin</a:t>
          </a:r>
        </a:p>
      </xdr:txBody>
    </xdr:sp>
    <xdr:clientData/>
  </xdr:twoCellAnchor>
  <xdr:twoCellAnchor>
    <xdr:from>
      <xdr:col>0</xdr:col>
      <xdr:colOff>292100</xdr:colOff>
      <xdr:row>24</xdr:row>
      <xdr:rowOff>12700</xdr:rowOff>
    </xdr:from>
    <xdr:to>
      <xdr:col>2</xdr:col>
      <xdr:colOff>88900</xdr:colOff>
      <xdr:row>28</xdr:row>
      <xdr:rowOff>12700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5983D4E2-4F2D-954A-8E52-4FCA8F933ECD}"/>
            </a:ext>
          </a:extLst>
        </xdr:cNvPr>
        <xdr:cNvSpPr/>
      </xdr:nvSpPr>
      <xdr:spPr>
        <a:xfrm>
          <a:off x="292100" y="43815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>
              <a:solidFill>
                <a:srgbClr val="FF0000"/>
              </a:solidFill>
            </a:rPr>
            <a:t>Reject</a:t>
          </a:r>
          <a:r>
            <a:rPr lang="en-US" sz="2000" b="1" baseline="0">
              <a:solidFill>
                <a:srgbClr val="FF0000"/>
              </a:solidFill>
            </a:rPr>
            <a:t> Request</a:t>
          </a:r>
          <a:endParaRPr lang="en-US" sz="20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330200</xdr:colOff>
      <xdr:row>34</xdr:row>
      <xdr:rowOff>101600</xdr:rowOff>
    </xdr:from>
    <xdr:to>
      <xdr:col>8</xdr:col>
      <xdr:colOff>241300</xdr:colOff>
      <xdr:row>34</xdr:row>
      <xdr:rowOff>114300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985C12BC-2970-8C44-9C97-9EC5B331A7E5}"/>
            </a:ext>
          </a:extLst>
        </xdr:cNvPr>
        <xdr:cNvCxnSpPr>
          <a:stCxn id="17" idx="1"/>
          <a:endCxn id="28" idx="3"/>
        </xdr:cNvCxnSpPr>
      </xdr:nvCxnSpPr>
      <xdr:spPr>
        <a:xfrm flipH="1">
          <a:off x="3632200" y="7886700"/>
          <a:ext cx="321310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431800</xdr:colOff>
      <xdr:row>29</xdr:row>
      <xdr:rowOff>76200</xdr:rowOff>
    </xdr:from>
    <xdr:to>
      <xdr:col>3</xdr:col>
      <xdr:colOff>438150</xdr:colOff>
      <xdr:row>32</xdr:row>
      <xdr:rowOff>165100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2D5FB59-16AE-8D46-AE90-2C0C27CAC660}"/>
            </a:ext>
          </a:extLst>
        </xdr:cNvPr>
        <xdr:cNvCxnSpPr>
          <a:stCxn id="28" idx="0"/>
          <a:endCxn id="30" idx="2"/>
        </xdr:cNvCxnSpPr>
      </xdr:nvCxnSpPr>
      <xdr:spPr>
        <a:xfrm flipV="1">
          <a:off x="2908300" y="5461000"/>
          <a:ext cx="6350" cy="7112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368300</xdr:colOff>
      <xdr:row>26</xdr:row>
      <xdr:rowOff>12700</xdr:rowOff>
    </xdr:from>
    <xdr:to>
      <xdr:col>5</xdr:col>
      <xdr:colOff>304800</xdr:colOff>
      <xdr:row>26</xdr:row>
      <xdr:rowOff>19050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4B26B315-4E15-C340-8300-86F3295112C8}"/>
            </a:ext>
          </a:extLst>
        </xdr:cNvPr>
        <xdr:cNvCxnSpPr>
          <a:stCxn id="30" idx="3"/>
          <a:endCxn id="31" idx="1"/>
        </xdr:cNvCxnSpPr>
      </xdr:nvCxnSpPr>
      <xdr:spPr>
        <a:xfrm flipV="1">
          <a:off x="3670300" y="478790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88900</xdr:colOff>
      <xdr:row>26</xdr:row>
      <xdr:rowOff>12700</xdr:rowOff>
    </xdr:from>
    <xdr:to>
      <xdr:col>2</xdr:col>
      <xdr:colOff>508000</xdr:colOff>
      <xdr:row>26</xdr:row>
      <xdr:rowOff>19050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78A3FA54-6C61-524C-945A-6695264F42A3}"/>
            </a:ext>
          </a:extLst>
        </xdr:cNvPr>
        <xdr:cNvCxnSpPr>
          <a:stCxn id="30" idx="1"/>
          <a:endCxn id="32" idx="3"/>
        </xdr:cNvCxnSpPr>
      </xdr:nvCxnSpPr>
      <xdr:spPr>
        <a:xfrm flipH="1" flipV="1">
          <a:off x="1739900" y="4787900"/>
          <a:ext cx="4191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101600</xdr:colOff>
      <xdr:row>26</xdr:row>
      <xdr:rowOff>12700</xdr:rowOff>
    </xdr:from>
    <xdr:to>
      <xdr:col>8</xdr:col>
      <xdr:colOff>736601</xdr:colOff>
      <xdr:row>26</xdr:row>
      <xdr:rowOff>24912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A955189A-C22F-684C-B4E9-FC7D7F7EC69A}"/>
            </a:ext>
          </a:extLst>
        </xdr:cNvPr>
        <xdr:cNvCxnSpPr>
          <a:stCxn id="31" idx="3"/>
          <a:endCxn id="18" idx="0"/>
        </xdr:cNvCxnSpPr>
      </xdr:nvCxnSpPr>
      <xdr:spPr>
        <a:xfrm>
          <a:off x="5880100" y="6108700"/>
          <a:ext cx="1460501" cy="122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393701</xdr:colOff>
      <xdr:row>26</xdr:row>
      <xdr:rowOff>0</xdr:rowOff>
    </xdr:from>
    <xdr:to>
      <xdr:col>13</xdr:col>
      <xdr:colOff>88900</xdr:colOff>
      <xdr:row>26</xdr:row>
      <xdr:rowOff>24912</xdr:rowOff>
    </xdr:to>
    <xdr:cxnSp macro="">
      <xdr:nvCxnSpPr>
        <xdr:cNvPr id="49" name="Straight Arrow Connector 48">
          <a:extLst>
            <a:ext uri="{FF2B5EF4-FFF2-40B4-BE49-F238E27FC236}">
              <a16:creationId xmlns:a16="http://schemas.microsoft.com/office/drawing/2014/main" id="{75236049-9598-4843-A9DF-CB7B029340E7}"/>
            </a:ext>
          </a:extLst>
        </xdr:cNvPr>
        <xdr:cNvCxnSpPr>
          <a:stCxn id="18" idx="2"/>
          <a:endCxn id="16" idx="1"/>
        </xdr:cNvCxnSpPr>
      </xdr:nvCxnSpPr>
      <xdr:spPr>
        <a:xfrm flipV="1">
          <a:off x="7823201" y="6096000"/>
          <a:ext cx="2997199" cy="24912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165100</xdr:colOff>
      <xdr:row>28</xdr:row>
      <xdr:rowOff>12700</xdr:rowOff>
    </xdr:from>
    <xdr:to>
      <xdr:col>1</xdr:col>
      <xdr:colOff>190500</xdr:colOff>
      <xdr:row>33</xdr:row>
      <xdr:rowOff>12700</xdr:rowOff>
    </xdr:to>
    <xdr:cxnSp macro="">
      <xdr:nvCxnSpPr>
        <xdr:cNvPr id="52" name="Straight Arrow Connector 51">
          <a:extLst>
            <a:ext uri="{FF2B5EF4-FFF2-40B4-BE49-F238E27FC236}">
              <a16:creationId xmlns:a16="http://schemas.microsoft.com/office/drawing/2014/main" id="{4BAB5658-C441-B14F-85B1-5E9E51E246D2}"/>
            </a:ext>
          </a:extLst>
        </xdr:cNvPr>
        <xdr:cNvCxnSpPr>
          <a:stCxn id="32" idx="2"/>
          <a:endCxn id="55" idx="0"/>
        </xdr:cNvCxnSpPr>
      </xdr:nvCxnSpPr>
      <xdr:spPr>
        <a:xfrm flipH="1">
          <a:off x="990600" y="6515100"/>
          <a:ext cx="25400" cy="10795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622300</xdr:colOff>
      <xdr:row>33</xdr:row>
      <xdr:rowOff>12700</xdr:rowOff>
    </xdr:from>
    <xdr:to>
      <xdr:col>1</xdr:col>
      <xdr:colOff>533400</xdr:colOff>
      <xdr:row>36</xdr:row>
      <xdr:rowOff>165100</xdr:rowOff>
    </xdr:to>
    <xdr:sp macro="" textlink="">
      <xdr:nvSpPr>
        <xdr:cNvPr id="55" name="Oval 54">
          <a:extLst>
            <a:ext uri="{FF2B5EF4-FFF2-40B4-BE49-F238E27FC236}">
              <a16:creationId xmlns:a16="http://schemas.microsoft.com/office/drawing/2014/main" id="{54E4E2EE-70F1-3A4C-8302-8FB9DF2DD05F}"/>
            </a:ext>
          </a:extLst>
        </xdr:cNvPr>
        <xdr:cNvSpPr/>
      </xdr:nvSpPr>
      <xdr:spPr>
        <a:xfrm>
          <a:off x="622300" y="75946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9</xdr:col>
      <xdr:colOff>139700</xdr:colOff>
      <xdr:row>27</xdr:row>
      <xdr:rowOff>63501</xdr:rowOff>
    </xdr:from>
    <xdr:to>
      <xdr:col>9</xdr:col>
      <xdr:colOff>152401</xdr:colOff>
      <xdr:row>32</xdr:row>
      <xdr:rowOff>152400</xdr:rowOff>
    </xdr:to>
    <xdr:cxnSp macro="">
      <xdr:nvCxnSpPr>
        <xdr:cNvPr id="57" name="Straight Arrow Connector 56">
          <a:extLst>
            <a:ext uri="{FF2B5EF4-FFF2-40B4-BE49-F238E27FC236}">
              <a16:creationId xmlns:a16="http://schemas.microsoft.com/office/drawing/2014/main" id="{EDF75288-EDFD-E946-AEBA-BCC6BBC97E2C}"/>
            </a:ext>
          </a:extLst>
        </xdr:cNvPr>
        <xdr:cNvCxnSpPr>
          <a:stCxn id="18" idx="1"/>
          <a:endCxn id="17" idx="0"/>
        </xdr:cNvCxnSpPr>
      </xdr:nvCxnSpPr>
      <xdr:spPr>
        <a:xfrm flipH="1">
          <a:off x="7569200" y="6362701"/>
          <a:ext cx="12701" cy="1117599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203200</xdr:colOff>
      <xdr:row>32</xdr:row>
      <xdr:rowOff>38100</xdr:rowOff>
    </xdr:from>
    <xdr:to>
      <xdr:col>19</xdr:col>
      <xdr:colOff>558800</xdr:colOff>
      <xdr:row>36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C0298792-9936-0E44-A2F4-51D4C4611771}"/>
            </a:ext>
          </a:extLst>
        </xdr:cNvPr>
        <xdr:cNvSpPr/>
      </xdr:nvSpPr>
      <xdr:spPr>
        <a:xfrm>
          <a:off x="15062200" y="7366000"/>
          <a:ext cx="1485900" cy="990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Request 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18</xdr:col>
      <xdr:colOff>203200</xdr:colOff>
      <xdr:row>15</xdr:row>
      <xdr:rowOff>177800</xdr:rowOff>
    </xdr:from>
    <xdr:to>
      <xdr:col>19</xdr:col>
      <xdr:colOff>558800</xdr:colOff>
      <xdr:row>20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AB43859A-E57C-414D-AE9C-9FC3D8EC5DC3}"/>
            </a:ext>
          </a:extLst>
        </xdr:cNvPr>
        <xdr:cNvSpPr/>
      </xdr:nvSpPr>
      <xdr:spPr>
        <a:xfrm>
          <a:off x="150622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Cooking</a:t>
          </a:r>
        </a:p>
      </xdr:txBody>
    </xdr:sp>
    <xdr:clientData/>
  </xdr:twoCellAnchor>
  <xdr:twoCellAnchor>
    <xdr:from>
      <xdr:col>9</xdr:col>
      <xdr:colOff>158750</xdr:colOff>
      <xdr:row>18</xdr:row>
      <xdr:rowOff>12700</xdr:rowOff>
    </xdr:from>
    <xdr:to>
      <xdr:col>14</xdr:col>
      <xdr:colOff>25400</xdr:colOff>
      <xdr:row>23</xdr:row>
      <xdr:rowOff>215900</xdr:rowOff>
    </xdr:to>
    <xdr:cxnSp macro="">
      <xdr:nvCxnSpPr>
        <xdr:cNvPr id="66" name="Elbow Connector 65">
          <a:extLst>
            <a:ext uri="{FF2B5EF4-FFF2-40B4-BE49-F238E27FC236}">
              <a16:creationId xmlns:a16="http://schemas.microsoft.com/office/drawing/2014/main" id="{E9027D15-F6BE-EC46-8C9E-668432081D08}"/>
            </a:ext>
          </a:extLst>
        </xdr:cNvPr>
        <xdr:cNvCxnSpPr>
          <a:stCxn id="70" idx="1"/>
          <a:endCxn id="20" idx="0"/>
        </xdr:cNvCxnSpPr>
      </xdr:nvCxnSpPr>
      <xdr:spPr>
        <a:xfrm rot="10800000" flipV="1">
          <a:off x="7588250" y="4381500"/>
          <a:ext cx="3994150" cy="1219200"/>
        </a:xfrm>
        <a:prstGeom prst="bentConnector2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25400</xdr:colOff>
      <xdr:row>15</xdr:row>
      <xdr:rowOff>177800</xdr:rowOff>
    </xdr:from>
    <xdr:to>
      <xdr:col>15</xdr:col>
      <xdr:colOff>685800</xdr:colOff>
      <xdr:row>20</xdr:row>
      <xdr:rowOff>50800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C6918DCC-3C81-F44F-9C15-80E601388530}"/>
            </a:ext>
          </a:extLst>
        </xdr:cNvPr>
        <xdr:cNvSpPr/>
      </xdr:nvSpPr>
      <xdr:spPr>
        <a:xfrm>
          <a:off x="11582400" y="3937000"/>
          <a:ext cx="14859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Delivery</a:t>
          </a:r>
        </a:p>
      </xdr:txBody>
    </xdr:sp>
    <xdr:clientData/>
  </xdr:twoCellAnchor>
  <xdr:twoCellAnchor>
    <xdr:from>
      <xdr:col>15</xdr:col>
      <xdr:colOff>685800</xdr:colOff>
      <xdr:row>18</xdr:row>
      <xdr:rowOff>12700</xdr:rowOff>
    </xdr:from>
    <xdr:to>
      <xdr:col>18</xdr:col>
      <xdr:colOff>203200</xdr:colOff>
      <xdr:row>18</xdr:row>
      <xdr:rowOff>12700</xdr:rowOff>
    </xdr:to>
    <xdr:cxnSp macro="">
      <xdr:nvCxnSpPr>
        <xdr:cNvPr id="72" name="Straight Arrow Connector 71">
          <a:extLst>
            <a:ext uri="{FF2B5EF4-FFF2-40B4-BE49-F238E27FC236}">
              <a16:creationId xmlns:a16="http://schemas.microsoft.com/office/drawing/2014/main" id="{7FB53470-B050-0548-A213-3B9035DC3505}"/>
            </a:ext>
          </a:extLst>
        </xdr:cNvPr>
        <xdr:cNvCxnSpPr>
          <a:stCxn id="64" idx="1"/>
          <a:endCxn id="70" idx="3"/>
        </xdr:cNvCxnSpPr>
      </xdr:nvCxnSpPr>
      <xdr:spPr>
        <a:xfrm flipH="1">
          <a:off x="13068300" y="4381500"/>
          <a:ext cx="1993900" cy="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18</xdr:col>
      <xdr:colOff>946150</xdr:colOff>
      <xdr:row>20</xdr:row>
      <xdr:rowOff>50800</xdr:rowOff>
    </xdr:from>
    <xdr:to>
      <xdr:col>18</xdr:col>
      <xdr:colOff>946150</xdr:colOff>
      <xdr:row>32</xdr:row>
      <xdr:rowOff>38100</xdr:rowOff>
    </xdr:to>
    <xdr:cxnSp macro="">
      <xdr:nvCxnSpPr>
        <xdr:cNvPr id="75" name="Straight Arrow Connector 74">
          <a:extLst>
            <a:ext uri="{FF2B5EF4-FFF2-40B4-BE49-F238E27FC236}">
              <a16:creationId xmlns:a16="http://schemas.microsoft.com/office/drawing/2014/main" id="{FE0685C8-9F27-3F44-A159-6720EEB1FAF8}"/>
            </a:ext>
          </a:extLst>
        </xdr:cNvPr>
        <xdr:cNvCxnSpPr>
          <a:stCxn id="60" idx="0"/>
          <a:endCxn id="64" idx="2"/>
        </xdr:cNvCxnSpPr>
      </xdr:nvCxnSpPr>
      <xdr:spPr>
        <a:xfrm flipV="1">
          <a:off x="15805150" y="4826000"/>
          <a:ext cx="0" cy="2540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76200</xdr:colOff>
      <xdr:row>36</xdr:row>
      <xdr:rowOff>165100</xdr:rowOff>
    </xdr:from>
    <xdr:to>
      <xdr:col>14</xdr:col>
      <xdr:colOff>673100</xdr:colOff>
      <xdr:row>42</xdr:row>
      <xdr:rowOff>88900</xdr:rowOff>
    </xdr:to>
    <xdr:sp macro="" textlink="">
      <xdr:nvSpPr>
        <xdr:cNvPr id="33" name="Diamond 32">
          <a:extLst>
            <a:ext uri="{FF2B5EF4-FFF2-40B4-BE49-F238E27FC236}">
              <a16:creationId xmlns:a16="http://schemas.microsoft.com/office/drawing/2014/main" id="{61A452C5-2459-ED49-82D7-9DC51495D38A}"/>
            </a:ext>
          </a:extLst>
        </xdr:cNvPr>
        <xdr:cNvSpPr/>
      </xdr:nvSpPr>
      <xdr:spPr>
        <a:xfrm>
          <a:off x="10807700" y="8356600"/>
          <a:ext cx="1511300" cy="13589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COD?</a:t>
          </a:r>
        </a:p>
        <a:p>
          <a:pPr algn="ctr"/>
          <a:r>
            <a:rPr lang="en-US" sz="1800" baseline="0"/>
            <a:t>Coin?</a:t>
          </a:r>
          <a:endParaRPr lang="en-US" sz="1800"/>
        </a:p>
      </xdr:txBody>
    </xdr:sp>
    <xdr:clientData/>
  </xdr:twoCellAnchor>
  <xdr:twoCellAnchor>
    <xdr:from>
      <xdr:col>2</xdr:col>
      <xdr:colOff>444500</xdr:colOff>
      <xdr:row>40</xdr:row>
      <xdr:rowOff>101600</xdr:rowOff>
    </xdr:from>
    <xdr:to>
      <xdr:col>4</xdr:col>
      <xdr:colOff>241300</xdr:colOff>
      <xdr:row>44</xdr:row>
      <xdr:rowOff>203200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2260D1BD-4D37-B54B-A6FD-CDF816D74C25}"/>
            </a:ext>
          </a:extLst>
        </xdr:cNvPr>
        <xdr:cNvSpPr/>
      </xdr:nvSpPr>
      <xdr:spPr>
        <a:xfrm>
          <a:off x="2095500" y="9220200"/>
          <a:ext cx="1447800" cy="1016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Confirm</a:t>
          </a:r>
        </a:p>
        <a:p>
          <a:pPr algn="ctr"/>
          <a:r>
            <a:rPr lang="en-US" sz="2000" b="1"/>
            <a:t>Order</a:t>
          </a:r>
        </a:p>
      </xdr:txBody>
    </xdr:sp>
    <xdr:clientData/>
  </xdr:twoCellAnchor>
  <xdr:twoCellAnchor>
    <xdr:from>
      <xdr:col>11</xdr:col>
      <xdr:colOff>590550</xdr:colOff>
      <xdr:row>37</xdr:row>
      <xdr:rowOff>127000</xdr:rowOff>
    </xdr:from>
    <xdr:to>
      <xdr:col>13</xdr:col>
      <xdr:colOff>76200</xdr:colOff>
      <xdr:row>39</xdr:row>
      <xdr:rowOff>120650</xdr:rowOff>
    </xdr:to>
    <xdr:cxnSp macro="">
      <xdr:nvCxnSpPr>
        <xdr:cNvPr id="56" name="Elbow Connector 55">
          <a:extLst>
            <a:ext uri="{FF2B5EF4-FFF2-40B4-BE49-F238E27FC236}">
              <a16:creationId xmlns:a16="http://schemas.microsoft.com/office/drawing/2014/main" id="{FA21E6D5-5A6A-2448-9D9C-FBF54AA901FE}"/>
            </a:ext>
          </a:extLst>
        </xdr:cNvPr>
        <xdr:cNvCxnSpPr>
          <a:stCxn id="33" idx="1"/>
          <a:endCxn id="22" idx="2"/>
        </xdr:cNvCxnSpPr>
      </xdr:nvCxnSpPr>
      <xdr:spPr>
        <a:xfrm rot="10800000">
          <a:off x="9671050" y="8534400"/>
          <a:ext cx="1136650" cy="5016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241300</xdr:colOff>
      <xdr:row>42</xdr:row>
      <xdr:rowOff>88900</xdr:rowOff>
    </xdr:from>
    <xdr:to>
      <xdr:col>13</xdr:col>
      <xdr:colOff>831850</xdr:colOff>
      <xdr:row>42</xdr:row>
      <xdr:rowOff>101600</xdr:rowOff>
    </xdr:to>
    <xdr:cxnSp macro="">
      <xdr:nvCxnSpPr>
        <xdr:cNvPr id="62" name="Straight Arrow Connector 61">
          <a:extLst>
            <a:ext uri="{FF2B5EF4-FFF2-40B4-BE49-F238E27FC236}">
              <a16:creationId xmlns:a16="http://schemas.microsoft.com/office/drawing/2014/main" id="{EFA1AF58-C61B-E04B-8CC3-B6D96CFCD5A2}"/>
            </a:ext>
          </a:extLst>
        </xdr:cNvPr>
        <xdr:cNvCxnSpPr>
          <a:stCxn id="33" idx="2"/>
          <a:endCxn id="47" idx="3"/>
        </xdr:cNvCxnSpPr>
      </xdr:nvCxnSpPr>
      <xdr:spPr>
        <a:xfrm flipH="1">
          <a:off x="3543300" y="9715500"/>
          <a:ext cx="8020050" cy="127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355600</xdr:colOff>
      <xdr:row>47</xdr:row>
      <xdr:rowOff>0</xdr:rowOff>
    </xdr:from>
    <xdr:to>
      <xdr:col>4</xdr:col>
      <xdr:colOff>304800</xdr:colOff>
      <xdr:row>53</xdr:row>
      <xdr:rowOff>88900</xdr:rowOff>
    </xdr:to>
    <xdr:sp macro="" textlink="">
      <xdr:nvSpPr>
        <xdr:cNvPr id="35" name="Diamond 34">
          <a:extLst>
            <a:ext uri="{FF2B5EF4-FFF2-40B4-BE49-F238E27FC236}">
              <a16:creationId xmlns:a16="http://schemas.microsoft.com/office/drawing/2014/main" id="{52F8BD12-2B16-A24B-AA6F-F5123E447513}"/>
            </a:ext>
          </a:extLst>
        </xdr:cNvPr>
        <xdr:cNvSpPr/>
      </xdr:nvSpPr>
      <xdr:spPr>
        <a:xfrm>
          <a:off x="2006600" y="10744200"/>
          <a:ext cx="1600200" cy="1308100"/>
        </a:xfrm>
        <a:prstGeom prst="diamond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 baseline="0"/>
            <a:t>Valid?</a:t>
          </a:r>
          <a:endParaRPr lang="en-US" sz="1800"/>
        </a:p>
      </xdr:txBody>
    </xdr:sp>
    <xdr:clientData/>
  </xdr:twoCellAnchor>
  <xdr:twoCellAnchor>
    <xdr:from>
      <xdr:col>3</xdr:col>
      <xdr:colOff>330200</xdr:colOff>
      <xdr:row>44</xdr:row>
      <xdr:rowOff>203200</xdr:rowOff>
    </xdr:from>
    <xdr:to>
      <xdr:col>3</xdr:col>
      <xdr:colOff>342900</xdr:colOff>
      <xdr:row>47</xdr:row>
      <xdr:rowOff>0</xdr:rowOff>
    </xdr:to>
    <xdr:cxnSp macro="">
      <xdr:nvCxnSpPr>
        <xdr:cNvPr id="36" name="Straight Arrow Connector 35">
          <a:extLst>
            <a:ext uri="{FF2B5EF4-FFF2-40B4-BE49-F238E27FC236}">
              <a16:creationId xmlns:a16="http://schemas.microsoft.com/office/drawing/2014/main" id="{A3C1E942-7390-4243-9132-CC4ED32990B4}"/>
            </a:ext>
          </a:extLst>
        </xdr:cNvPr>
        <xdr:cNvCxnSpPr>
          <a:stCxn id="47" idx="2"/>
          <a:endCxn id="35" idx="0"/>
        </xdr:cNvCxnSpPr>
      </xdr:nvCxnSpPr>
      <xdr:spPr>
        <a:xfrm flipH="1">
          <a:off x="2806700" y="10236200"/>
          <a:ext cx="12700" cy="5080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419100</xdr:colOff>
      <xdr:row>49</xdr:row>
      <xdr:rowOff>196850</xdr:rowOff>
    </xdr:from>
    <xdr:to>
      <xdr:col>2</xdr:col>
      <xdr:colOff>355600</xdr:colOff>
      <xdr:row>50</xdr:row>
      <xdr:rowOff>0</xdr:rowOff>
    </xdr:to>
    <xdr:cxnSp macro="">
      <xdr:nvCxnSpPr>
        <xdr:cNvPr id="39" name="Straight Arrow Connector 38">
          <a:extLst>
            <a:ext uri="{FF2B5EF4-FFF2-40B4-BE49-F238E27FC236}">
              <a16:creationId xmlns:a16="http://schemas.microsoft.com/office/drawing/2014/main" id="{12789F4F-E260-D140-B68C-F23918CE740F}"/>
            </a:ext>
          </a:extLst>
        </xdr:cNvPr>
        <xdr:cNvCxnSpPr>
          <a:stCxn id="35" idx="1"/>
          <a:endCxn id="41" idx="6"/>
        </xdr:cNvCxnSpPr>
      </xdr:nvCxnSpPr>
      <xdr:spPr>
        <a:xfrm flipH="1">
          <a:off x="1244600" y="11449050"/>
          <a:ext cx="762000" cy="635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508000</xdr:colOff>
      <xdr:row>48</xdr:row>
      <xdr:rowOff>127000</xdr:rowOff>
    </xdr:from>
    <xdr:to>
      <xdr:col>1</xdr:col>
      <xdr:colOff>419100</xdr:colOff>
      <xdr:row>51</xdr:row>
      <xdr:rowOff>177800</xdr:rowOff>
    </xdr:to>
    <xdr:sp macro="" textlink="">
      <xdr:nvSpPr>
        <xdr:cNvPr id="41" name="Oval 40">
          <a:extLst>
            <a:ext uri="{FF2B5EF4-FFF2-40B4-BE49-F238E27FC236}">
              <a16:creationId xmlns:a16="http://schemas.microsoft.com/office/drawing/2014/main" id="{928847F7-7555-FD44-A50E-3A040F909799}"/>
            </a:ext>
          </a:extLst>
        </xdr:cNvPr>
        <xdr:cNvSpPr/>
      </xdr:nvSpPr>
      <xdr:spPr>
        <a:xfrm>
          <a:off x="508000" y="11074400"/>
          <a:ext cx="736600" cy="762000"/>
        </a:xfrm>
        <a:prstGeom prst="ellipse">
          <a:avLst/>
        </a:prstGeom>
        <a:solidFill>
          <a:schemeClr val="bg2">
            <a:lumMod val="50000"/>
          </a:schemeClr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700" b="1"/>
            <a:t>End</a:t>
          </a:r>
        </a:p>
      </xdr:txBody>
    </xdr:sp>
    <xdr:clientData/>
  </xdr:twoCellAnchor>
  <xdr:twoCellAnchor>
    <xdr:from>
      <xdr:col>4</xdr:col>
      <xdr:colOff>304800</xdr:colOff>
      <xdr:row>36</xdr:row>
      <xdr:rowOff>165100</xdr:rowOff>
    </xdr:from>
    <xdr:to>
      <xdr:col>18</xdr:col>
      <xdr:colOff>946150</xdr:colOff>
      <xdr:row>49</xdr:row>
      <xdr:rowOff>196850</xdr:rowOff>
    </xdr:to>
    <xdr:cxnSp macro="">
      <xdr:nvCxnSpPr>
        <xdr:cNvPr id="45" name="Elbow Connector 44">
          <a:extLst>
            <a:ext uri="{FF2B5EF4-FFF2-40B4-BE49-F238E27FC236}">
              <a16:creationId xmlns:a16="http://schemas.microsoft.com/office/drawing/2014/main" id="{F5DB2208-028F-CE46-9F1D-4BF420476CC6}"/>
            </a:ext>
          </a:extLst>
        </xdr:cNvPr>
        <xdr:cNvCxnSpPr>
          <a:stCxn id="35" idx="3"/>
          <a:endCxn id="60" idx="2"/>
        </xdr:cNvCxnSpPr>
      </xdr:nvCxnSpPr>
      <xdr:spPr>
        <a:xfrm flipV="1">
          <a:off x="3606800" y="8356600"/>
          <a:ext cx="12287250" cy="3092450"/>
        </a:xfrm>
        <a:prstGeom prst="bentConnector2">
          <a:avLst/>
        </a:prstGeom>
        <a:ln w="38100"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469900</xdr:colOff>
      <xdr:row>34</xdr:row>
      <xdr:rowOff>76200</xdr:rowOff>
    </xdr:from>
    <xdr:to>
      <xdr:col>18</xdr:col>
      <xdr:colOff>203200</xdr:colOff>
      <xdr:row>34</xdr:row>
      <xdr:rowOff>101600</xdr:rowOff>
    </xdr:to>
    <xdr:cxnSp macro="">
      <xdr:nvCxnSpPr>
        <xdr:cNvPr id="53" name="Straight Arrow Connector 52">
          <a:extLst>
            <a:ext uri="{FF2B5EF4-FFF2-40B4-BE49-F238E27FC236}">
              <a16:creationId xmlns:a16="http://schemas.microsoft.com/office/drawing/2014/main" id="{EA1C8DAC-201C-1942-918D-0529B0F8408F}"/>
            </a:ext>
          </a:extLst>
        </xdr:cNvPr>
        <xdr:cNvCxnSpPr>
          <a:stCxn id="22" idx="3"/>
          <a:endCxn id="60" idx="1"/>
        </xdr:cNvCxnSpPr>
      </xdr:nvCxnSpPr>
      <xdr:spPr>
        <a:xfrm flipV="1">
          <a:off x="10375900" y="7861300"/>
          <a:ext cx="4775200" cy="25400"/>
        </a:xfrm>
        <a:prstGeom prst="straightConnector1">
          <a:avLst/>
        </a:prstGeom>
        <a:ln w="38100"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965200</xdr:colOff>
      <xdr:row>21</xdr:row>
      <xdr:rowOff>0</xdr:rowOff>
    </xdr:from>
    <xdr:to>
      <xdr:col>16</xdr:col>
      <xdr:colOff>228600</xdr:colOff>
      <xdr:row>24</xdr:row>
      <xdr:rowOff>152400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19CBD7A-5F3F-F842-AD94-63FF25995D13}"/>
            </a:ext>
          </a:extLst>
        </xdr:cNvPr>
        <xdr:cNvSpPr/>
      </xdr:nvSpPr>
      <xdr:spPr>
        <a:xfrm>
          <a:off x="12522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</a:t>
          </a:r>
        </a:p>
      </xdr:txBody>
    </xdr:sp>
    <xdr:clientData/>
  </xdr:twoCellAnchor>
  <xdr:twoCellAnchor>
    <xdr:from>
      <xdr:col>5</xdr:col>
      <xdr:colOff>177800</xdr:colOff>
      <xdr:row>14</xdr:row>
      <xdr:rowOff>254000</xdr:rowOff>
    </xdr:from>
    <xdr:to>
      <xdr:col>11</xdr:col>
      <xdr:colOff>139700</xdr:colOff>
      <xdr:row>17</xdr:row>
      <xdr:rowOff>50800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41F4A126-50CC-8645-96FD-A7D16C3B1C0B}"/>
            </a:ext>
          </a:extLst>
        </xdr:cNvPr>
        <xdr:cNvSpPr/>
      </xdr:nvSpPr>
      <xdr:spPr>
        <a:xfrm>
          <a:off x="4305300" y="4089400"/>
          <a:ext cx="4914900" cy="7112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500"/>
            <a:t>Access</a:t>
          </a:r>
        </a:p>
      </xdr:txBody>
    </xdr:sp>
    <xdr:clientData/>
  </xdr:twoCellAnchor>
  <xdr:twoCellAnchor>
    <xdr:from>
      <xdr:col>5</xdr:col>
      <xdr:colOff>393700</xdr:colOff>
      <xdr:row>21</xdr:row>
      <xdr:rowOff>12700</xdr:rowOff>
    </xdr:from>
    <xdr:to>
      <xdr:col>7</xdr:col>
      <xdr:colOff>190500</xdr:colOff>
      <xdr:row>24</xdr:row>
      <xdr:rowOff>165100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5F96F650-2CA9-2642-A6DE-A3B5E9497B46}"/>
            </a:ext>
          </a:extLst>
        </xdr:cNvPr>
        <xdr:cNvSpPr/>
      </xdr:nvSpPr>
      <xdr:spPr>
        <a:xfrm>
          <a:off x="4521200" y="48768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</a:t>
          </a:r>
        </a:p>
      </xdr:txBody>
    </xdr:sp>
    <xdr:clientData/>
  </xdr:twoCellAnchor>
  <xdr:twoCellAnchor>
    <xdr:from>
      <xdr:col>3</xdr:col>
      <xdr:colOff>38100</xdr:colOff>
      <xdr:row>21</xdr:row>
      <xdr:rowOff>0</xdr:rowOff>
    </xdr:from>
    <xdr:to>
      <xdr:col>4</xdr:col>
      <xdr:colOff>660400</xdr:colOff>
      <xdr:row>24</xdr:row>
      <xdr:rowOff>152400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624C1121-5135-F74B-98D9-2DD39BEB5420}"/>
            </a:ext>
          </a:extLst>
        </xdr:cNvPr>
        <xdr:cNvSpPr/>
      </xdr:nvSpPr>
      <xdr:spPr>
        <a:xfrm>
          <a:off x="25146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Transaction</a:t>
          </a:r>
        </a:p>
      </xdr:txBody>
    </xdr:sp>
    <xdr:clientData/>
  </xdr:twoCellAnchor>
  <xdr:twoCellAnchor>
    <xdr:from>
      <xdr:col>0</xdr:col>
      <xdr:colOff>457200</xdr:colOff>
      <xdr:row>21</xdr:row>
      <xdr:rowOff>0</xdr:rowOff>
    </xdr:from>
    <xdr:to>
      <xdr:col>2</xdr:col>
      <xdr:colOff>254000</xdr:colOff>
      <xdr:row>24</xdr:row>
      <xdr:rowOff>152400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74D0B661-76A4-894F-B85D-921E4BDA9030}"/>
            </a:ext>
          </a:extLst>
        </xdr:cNvPr>
        <xdr:cNvSpPr/>
      </xdr:nvSpPr>
      <xdr:spPr>
        <a:xfrm>
          <a:off x="457200" y="48514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Dashboard</a:t>
          </a:r>
        </a:p>
      </xdr:txBody>
    </xdr:sp>
    <xdr:clientData/>
  </xdr:twoCellAnchor>
  <xdr:twoCellAnchor>
    <xdr:from>
      <xdr:col>10</xdr:col>
      <xdr:colOff>368300</xdr:colOff>
      <xdr:row>21</xdr:row>
      <xdr:rowOff>38100</xdr:rowOff>
    </xdr:from>
    <xdr:to>
      <xdr:col>12</xdr:col>
      <xdr:colOff>165100</xdr:colOff>
      <xdr:row>24</xdr:row>
      <xdr:rowOff>190500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49B0221-AD05-D04C-A9DF-6D9E488BF8D5}"/>
            </a:ext>
          </a:extLst>
        </xdr:cNvPr>
        <xdr:cNvSpPr/>
      </xdr:nvSpPr>
      <xdr:spPr>
        <a:xfrm>
          <a:off x="8623300" y="49022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Finance</a:t>
          </a:r>
        </a:p>
      </xdr:txBody>
    </xdr:sp>
    <xdr:clientData/>
  </xdr:twoCellAnchor>
  <xdr:twoCellAnchor>
    <xdr:from>
      <xdr:col>12</xdr:col>
      <xdr:colOff>723900</xdr:colOff>
      <xdr:row>21</xdr:row>
      <xdr:rowOff>0</xdr:rowOff>
    </xdr:from>
    <xdr:to>
      <xdr:col>14</xdr:col>
      <xdr:colOff>520700</xdr:colOff>
      <xdr:row>24</xdr:row>
      <xdr:rowOff>152400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B3001076-D1CF-3542-9214-87A090FA2549}"/>
            </a:ext>
          </a:extLst>
        </xdr:cNvPr>
        <xdr:cNvSpPr/>
      </xdr:nvSpPr>
      <xdr:spPr>
        <a:xfrm>
          <a:off x="106299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</a:p>
      </xdr:txBody>
    </xdr:sp>
    <xdr:clientData/>
  </xdr:twoCellAnchor>
  <xdr:twoCellAnchor>
    <xdr:from>
      <xdr:col>5</xdr:col>
      <xdr:colOff>393700</xdr:colOff>
      <xdr:row>28</xdr:row>
      <xdr:rowOff>0</xdr:rowOff>
    </xdr:from>
    <xdr:to>
      <xdr:col>7</xdr:col>
      <xdr:colOff>190500</xdr:colOff>
      <xdr:row>31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7DD81EAC-3D35-AB46-B470-B8B153F4D23F}"/>
            </a:ext>
          </a:extLst>
        </xdr:cNvPr>
        <xdr:cNvSpPr/>
      </xdr:nvSpPr>
      <xdr:spPr>
        <a:xfrm>
          <a:off x="4521200" y="628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 </a:t>
          </a:r>
        </a:p>
      </xdr:txBody>
    </xdr:sp>
    <xdr:clientData/>
  </xdr:twoCellAnchor>
  <xdr:twoCellAnchor>
    <xdr:from>
      <xdr:col>5</xdr:col>
      <xdr:colOff>393700</xdr:colOff>
      <xdr:row>34</xdr:row>
      <xdr:rowOff>38100</xdr:rowOff>
    </xdr:from>
    <xdr:to>
      <xdr:col>7</xdr:col>
      <xdr:colOff>190500</xdr:colOff>
      <xdr:row>37</xdr:row>
      <xdr:rowOff>190500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2254EF83-D2A1-5E42-8226-BAEB82A943E4}"/>
            </a:ext>
          </a:extLst>
        </xdr:cNvPr>
        <xdr:cNvSpPr/>
      </xdr:nvSpPr>
      <xdr:spPr>
        <a:xfrm>
          <a:off x="45212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Add Coin</a:t>
          </a:r>
          <a:endParaRPr lang="en-US" sz="2000"/>
        </a:p>
      </xdr:txBody>
    </xdr:sp>
    <xdr:clientData/>
  </xdr:twoCellAnchor>
  <xdr:twoCellAnchor>
    <xdr:from>
      <xdr:col>5</xdr:col>
      <xdr:colOff>406400</xdr:colOff>
      <xdr:row>40</xdr:row>
      <xdr:rowOff>50800</xdr:rowOff>
    </xdr:from>
    <xdr:to>
      <xdr:col>7</xdr:col>
      <xdr:colOff>203200</xdr:colOff>
      <xdr:row>44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69DF548A-B152-4C41-839B-E14144A49DC8}"/>
            </a:ext>
          </a:extLst>
        </xdr:cNvPr>
        <xdr:cNvSpPr/>
      </xdr:nvSpPr>
      <xdr:spPr>
        <a:xfrm>
          <a:off x="4533900" y="8775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Rate</a:t>
          </a:r>
          <a:endParaRPr lang="en-US" sz="1800"/>
        </a:p>
      </xdr:txBody>
    </xdr:sp>
    <xdr:clientData/>
  </xdr:twoCellAnchor>
  <xdr:twoCellAnchor>
    <xdr:from>
      <xdr:col>6</xdr:col>
      <xdr:colOff>774700</xdr:colOff>
      <xdr:row>40</xdr:row>
      <xdr:rowOff>152400</xdr:rowOff>
    </xdr:from>
    <xdr:to>
      <xdr:col>7</xdr:col>
      <xdr:colOff>127000</xdr:colOff>
      <xdr:row>41</xdr:row>
      <xdr:rowOff>139700</xdr:rowOff>
    </xdr:to>
    <xdr:sp macro="" textlink="">
      <xdr:nvSpPr>
        <xdr:cNvPr id="14" name="7-Point Star 13">
          <a:extLst>
            <a:ext uri="{FF2B5EF4-FFF2-40B4-BE49-F238E27FC236}">
              <a16:creationId xmlns:a16="http://schemas.microsoft.com/office/drawing/2014/main" id="{6098405F-2211-6A4F-9BAE-324DB35A8222}"/>
            </a:ext>
          </a:extLst>
        </xdr:cNvPr>
        <xdr:cNvSpPr/>
      </xdr:nvSpPr>
      <xdr:spPr>
        <a:xfrm>
          <a:off x="5727700" y="88773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14</xdr:col>
      <xdr:colOff>139700</xdr:colOff>
      <xdr:row>21</xdr:row>
      <xdr:rowOff>25400</xdr:rowOff>
    </xdr:from>
    <xdr:to>
      <xdr:col>14</xdr:col>
      <xdr:colOff>406400</xdr:colOff>
      <xdr:row>22</xdr:row>
      <xdr:rowOff>114300</xdr:rowOff>
    </xdr:to>
    <xdr:sp macro="" textlink="">
      <xdr:nvSpPr>
        <xdr:cNvPr id="15" name="7-Point Star 14">
          <a:extLst>
            <a:ext uri="{FF2B5EF4-FFF2-40B4-BE49-F238E27FC236}">
              <a16:creationId xmlns:a16="http://schemas.microsoft.com/office/drawing/2014/main" id="{441FA7E5-6571-8744-AA36-989157709847}"/>
            </a:ext>
          </a:extLst>
        </xdr:cNvPr>
        <xdr:cNvSpPr/>
      </xdr:nvSpPr>
      <xdr:spPr>
        <a:xfrm>
          <a:off x="11696700" y="48895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</xdr:col>
      <xdr:colOff>304800</xdr:colOff>
      <xdr:row>21</xdr:row>
      <xdr:rowOff>0</xdr:rowOff>
    </xdr:from>
    <xdr:to>
      <xdr:col>4</xdr:col>
      <xdr:colOff>571500</xdr:colOff>
      <xdr:row>22</xdr:row>
      <xdr:rowOff>88900</xdr:rowOff>
    </xdr:to>
    <xdr:sp macro="" textlink="">
      <xdr:nvSpPr>
        <xdr:cNvPr id="17" name="7-Point Star 16">
          <a:extLst>
            <a:ext uri="{FF2B5EF4-FFF2-40B4-BE49-F238E27FC236}">
              <a16:creationId xmlns:a16="http://schemas.microsoft.com/office/drawing/2014/main" id="{E413A645-06ED-9F47-BD87-EA5026B23026}"/>
            </a:ext>
          </a:extLst>
        </xdr:cNvPr>
        <xdr:cNvSpPr/>
      </xdr:nvSpPr>
      <xdr:spPr>
        <a:xfrm>
          <a:off x="3606800" y="48641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76200</xdr:colOff>
      <xdr:row>27</xdr:row>
      <xdr:rowOff>177800</xdr:rowOff>
    </xdr:from>
    <xdr:to>
      <xdr:col>4</xdr:col>
      <xdr:colOff>698500</xdr:colOff>
      <xdr:row>31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1E349D3A-5B96-0D4F-8B9C-30A4C30C3861}"/>
            </a:ext>
          </a:extLst>
        </xdr:cNvPr>
        <xdr:cNvSpPr/>
      </xdr:nvSpPr>
      <xdr:spPr>
        <a:xfrm>
          <a:off x="2552700" y="62611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 Transaction </a:t>
          </a:r>
        </a:p>
      </xdr:txBody>
    </xdr:sp>
    <xdr:clientData/>
  </xdr:twoCellAnchor>
  <xdr:twoCellAnchor>
    <xdr:from>
      <xdr:col>10</xdr:col>
      <xdr:colOff>381000</xdr:colOff>
      <xdr:row>28</xdr:row>
      <xdr:rowOff>50800</xdr:rowOff>
    </xdr:from>
    <xdr:to>
      <xdr:col>12</xdr:col>
      <xdr:colOff>177800</xdr:colOff>
      <xdr:row>32</xdr:row>
      <xdr:rowOff>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0C80810-FDC2-F247-A55D-D16F1274ACEE}"/>
            </a:ext>
          </a:extLst>
        </xdr:cNvPr>
        <xdr:cNvSpPr/>
      </xdr:nvSpPr>
      <xdr:spPr>
        <a:xfrm>
          <a:off x="8636000" y="63373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Sale by</a:t>
          </a:r>
        </a:p>
        <a:p>
          <a:pPr algn="ctr"/>
          <a:r>
            <a:rPr lang="en-US" sz="2000" baseline="0"/>
            <a:t>D/M/Y</a:t>
          </a:r>
          <a:endParaRPr lang="en-US" sz="2000"/>
        </a:p>
      </xdr:txBody>
    </xdr:sp>
    <xdr:clientData/>
  </xdr:twoCellAnchor>
  <xdr:twoCellAnchor>
    <xdr:from>
      <xdr:col>14</xdr:col>
      <xdr:colOff>1003300</xdr:colOff>
      <xdr:row>28</xdr:row>
      <xdr:rowOff>25400</xdr:rowOff>
    </xdr:from>
    <xdr:to>
      <xdr:col>16</xdr:col>
      <xdr:colOff>266700</xdr:colOff>
      <xdr:row>31</xdr:row>
      <xdr:rowOff>177800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06E8C257-6A72-6948-8DEF-56277CC12EF1}"/>
            </a:ext>
          </a:extLst>
        </xdr:cNvPr>
        <xdr:cNvSpPr/>
      </xdr:nvSpPr>
      <xdr:spPr>
        <a:xfrm>
          <a:off x="12560300" y="6299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</a:t>
          </a:r>
          <a:r>
            <a:rPr lang="en-US" sz="2000" baseline="0"/>
            <a:t> Manage</a:t>
          </a:r>
          <a:endParaRPr lang="en-US" sz="2000"/>
        </a:p>
      </xdr:txBody>
    </xdr:sp>
    <xdr:clientData/>
  </xdr:twoCellAnchor>
  <xdr:twoCellAnchor>
    <xdr:from>
      <xdr:col>14</xdr:col>
      <xdr:colOff>977900</xdr:colOff>
      <xdr:row>39</xdr:row>
      <xdr:rowOff>12700</xdr:rowOff>
    </xdr:from>
    <xdr:to>
      <xdr:col>16</xdr:col>
      <xdr:colOff>241300</xdr:colOff>
      <xdr:row>42</xdr:row>
      <xdr:rowOff>165100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5709C257-90A8-6A4C-8B7D-7F0CF326D88A}"/>
            </a:ext>
          </a:extLst>
        </xdr:cNvPr>
        <xdr:cNvSpPr/>
      </xdr:nvSpPr>
      <xdr:spPr>
        <a:xfrm>
          <a:off x="12534900" y="85217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13</xdr:col>
      <xdr:colOff>342900</xdr:colOff>
      <xdr:row>11</xdr:row>
      <xdr:rowOff>177800</xdr:rowOff>
    </xdr:from>
    <xdr:to>
      <xdr:col>13</xdr:col>
      <xdr:colOff>673100</xdr:colOff>
      <xdr:row>13</xdr:row>
      <xdr:rowOff>25400</xdr:rowOff>
    </xdr:to>
    <xdr:sp macro="" textlink="">
      <xdr:nvSpPr>
        <xdr:cNvPr id="27" name="7-Point Star 26">
          <a:extLst>
            <a:ext uri="{FF2B5EF4-FFF2-40B4-BE49-F238E27FC236}">
              <a16:creationId xmlns:a16="http://schemas.microsoft.com/office/drawing/2014/main" id="{0D92E6AF-C838-CD43-9245-B383B85078B7}"/>
            </a:ext>
          </a:extLst>
        </xdr:cNvPr>
        <xdr:cNvSpPr/>
      </xdr:nvSpPr>
      <xdr:spPr>
        <a:xfrm>
          <a:off x="11074400" y="3200400"/>
          <a:ext cx="330200" cy="3556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685800</xdr:colOff>
      <xdr:row>21</xdr:row>
      <xdr:rowOff>50800</xdr:rowOff>
    </xdr:from>
    <xdr:to>
      <xdr:col>12</xdr:col>
      <xdr:colOff>127000</xdr:colOff>
      <xdr:row>22</xdr:row>
      <xdr:rowOff>139700</xdr:rowOff>
    </xdr:to>
    <xdr:sp macro="" textlink="">
      <xdr:nvSpPr>
        <xdr:cNvPr id="29" name="7-Point Star 28">
          <a:extLst>
            <a:ext uri="{FF2B5EF4-FFF2-40B4-BE49-F238E27FC236}">
              <a16:creationId xmlns:a16="http://schemas.microsoft.com/office/drawing/2014/main" id="{F1186991-6980-984E-9370-D976E716BBB6}"/>
            </a:ext>
          </a:extLst>
        </xdr:cNvPr>
        <xdr:cNvSpPr/>
      </xdr:nvSpPr>
      <xdr:spPr>
        <a:xfrm>
          <a:off x="9766300" y="49149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12</xdr:col>
      <xdr:colOff>749300</xdr:colOff>
      <xdr:row>28</xdr:row>
      <xdr:rowOff>38100</xdr:rowOff>
    </xdr:from>
    <xdr:to>
      <xdr:col>14</xdr:col>
      <xdr:colOff>546100</xdr:colOff>
      <xdr:row>31</xdr:row>
      <xdr:rowOff>190500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A510CD21-15B6-3745-89C2-E9BC1B76AA94}"/>
            </a:ext>
          </a:extLst>
        </xdr:cNvPr>
        <xdr:cNvSpPr/>
      </xdr:nvSpPr>
      <xdr:spPr>
        <a:xfrm>
          <a:off x="10655300" y="63246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aseline="0"/>
            <a:t>CRUD Product</a:t>
          </a:r>
        </a:p>
      </xdr:txBody>
    </xdr:sp>
    <xdr:clientData/>
  </xdr:twoCellAnchor>
  <xdr:twoCellAnchor>
    <xdr:from>
      <xdr:col>5</xdr:col>
      <xdr:colOff>393700</xdr:colOff>
      <xdr:row>46</xdr:row>
      <xdr:rowOff>38100</xdr:rowOff>
    </xdr:from>
    <xdr:to>
      <xdr:col>7</xdr:col>
      <xdr:colOff>190500</xdr:colOff>
      <xdr:row>49</xdr:row>
      <xdr:rowOff>190500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101EF38A-0994-6B40-BDBE-E68B616E8D1A}"/>
            </a:ext>
          </a:extLst>
        </xdr:cNvPr>
        <xdr:cNvSpPr/>
      </xdr:nvSpPr>
      <xdr:spPr>
        <a:xfrm>
          <a:off x="4521200" y="99822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1800"/>
            <a:t>Coin</a:t>
          </a:r>
          <a:r>
            <a:rPr lang="en-US" sz="1800" baseline="0"/>
            <a:t> Exchange</a:t>
          </a:r>
          <a:endParaRPr lang="en-US" sz="1800"/>
        </a:p>
      </xdr:txBody>
    </xdr:sp>
    <xdr:clientData/>
  </xdr:twoCellAnchor>
  <xdr:twoCellAnchor>
    <xdr:from>
      <xdr:col>14</xdr:col>
      <xdr:colOff>1003300</xdr:colOff>
      <xdr:row>33</xdr:row>
      <xdr:rowOff>152400</xdr:rowOff>
    </xdr:from>
    <xdr:to>
      <xdr:col>16</xdr:col>
      <xdr:colOff>266700</xdr:colOff>
      <xdr:row>37</xdr:row>
      <xdr:rowOff>101600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5FCAED9E-CC63-D345-A218-0912CA449244}"/>
            </a:ext>
          </a:extLst>
        </xdr:cNvPr>
        <xdr:cNvSpPr/>
      </xdr:nvSpPr>
      <xdr:spPr>
        <a:xfrm>
          <a:off x="12560300" y="76200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Rate</a:t>
          </a:r>
          <a:endParaRPr lang="en-US" sz="2000"/>
        </a:p>
      </xdr:txBody>
    </xdr:sp>
    <xdr:clientData/>
  </xdr:twoCellAnchor>
  <xdr:twoCellAnchor>
    <xdr:from>
      <xdr:col>3</xdr:col>
      <xdr:colOff>419100</xdr:colOff>
      <xdr:row>56</xdr:row>
      <xdr:rowOff>0</xdr:rowOff>
    </xdr:from>
    <xdr:to>
      <xdr:col>7</xdr:col>
      <xdr:colOff>0</xdr:colOff>
      <xdr:row>58</xdr:row>
      <xdr:rowOff>165100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5646DEC2-B2B2-2E40-92E9-E075A327118D}"/>
            </a:ext>
          </a:extLst>
        </xdr:cNvPr>
        <xdr:cNvSpPr/>
      </xdr:nvSpPr>
      <xdr:spPr>
        <a:xfrm>
          <a:off x="2895600" y="11988800"/>
          <a:ext cx="2882900" cy="571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Status</a:t>
          </a:r>
        </a:p>
      </xdr:txBody>
    </xdr:sp>
    <xdr:clientData/>
  </xdr:twoCellAnchor>
  <xdr:twoCellAnchor>
    <xdr:from>
      <xdr:col>3</xdr:col>
      <xdr:colOff>431800</xdr:colOff>
      <xdr:row>59</xdr:row>
      <xdr:rowOff>177800</xdr:rowOff>
    </xdr:from>
    <xdr:to>
      <xdr:col>5</xdr:col>
      <xdr:colOff>228600</xdr:colOff>
      <xdr:row>62</xdr:row>
      <xdr:rowOff>177800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C64A867F-2AEB-7C42-8129-49ADE4E8B0C6}"/>
            </a:ext>
          </a:extLst>
        </xdr:cNvPr>
        <xdr:cNvSpPr/>
      </xdr:nvSpPr>
      <xdr:spPr>
        <a:xfrm>
          <a:off x="2908300" y="139700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Transaction</a:t>
          </a:r>
          <a:endParaRPr lang="en-US" sz="2000" b="1" baseline="0"/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6</xdr:col>
      <xdr:colOff>38100</xdr:colOff>
      <xdr:row>59</xdr:row>
      <xdr:rowOff>177800</xdr:rowOff>
    </xdr:from>
    <xdr:to>
      <xdr:col>8</xdr:col>
      <xdr:colOff>0</xdr:colOff>
      <xdr:row>62</xdr:row>
      <xdr:rowOff>177800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AAEF4977-2CD3-0241-A23D-4DC2C83CC85D}"/>
            </a:ext>
          </a:extLst>
        </xdr:cNvPr>
        <xdr:cNvSpPr/>
      </xdr:nvSpPr>
      <xdr:spPr>
        <a:xfrm>
          <a:off x="4991100" y="13970000"/>
          <a:ext cx="16129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User</a:t>
          </a:r>
          <a:r>
            <a:rPr lang="en-US" sz="2000" b="1" baseline="0"/>
            <a:t> Register</a:t>
          </a:r>
        </a:p>
        <a:p>
          <a:pPr algn="ctr"/>
          <a:r>
            <a:rPr lang="en-US" sz="2000" b="1" baseline="0"/>
            <a:t>Count</a:t>
          </a:r>
          <a:endParaRPr lang="en-US" sz="2000" b="1"/>
        </a:p>
      </xdr:txBody>
    </xdr:sp>
    <xdr:clientData/>
  </xdr:twoCellAnchor>
  <xdr:twoCellAnchor>
    <xdr:from>
      <xdr:col>8</xdr:col>
      <xdr:colOff>571500</xdr:colOff>
      <xdr:row>59</xdr:row>
      <xdr:rowOff>190500</xdr:rowOff>
    </xdr:from>
    <xdr:to>
      <xdr:col>10</xdr:col>
      <xdr:colOff>368300</xdr:colOff>
      <xdr:row>62</xdr:row>
      <xdr:rowOff>190500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A28FFD55-824E-8842-8AA9-E61DF496390D}"/>
            </a:ext>
          </a:extLst>
        </xdr:cNvPr>
        <xdr:cNvSpPr/>
      </xdr:nvSpPr>
      <xdr:spPr>
        <a:xfrm>
          <a:off x="7175500" y="139827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Rate</a:t>
          </a:r>
        </a:p>
        <a:p>
          <a:pPr algn="ctr"/>
          <a:r>
            <a:rPr lang="en-US" sz="2000" b="1"/>
            <a:t>/Using Coin</a:t>
          </a:r>
        </a:p>
      </xdr:txBody>
    </xdr:sp>
    <xdr:clientData/>
  </xdr:twoCellAnchor>
  <xdr:twoCellAnchor>
    <xdr:from>
      <xdr:col>11</xdr:col>
      <xdr:colOff>76200</xdr:colOff>
      <xdr:row>59</xdr:row>
      <xdr:rowOff>190500</xdr:rowOff>
    </xdr:from>
    <xdr:to>
      <xdr:col>12</xdr:col>
      <xdr:colOff>774700</xdr:colOff>
      <xdr:row>62</xdr:row>
      <xdr:rowOff>190500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0F420C9C-64A3-9947-A38B-AD9F61414A55}"/>
            </a:ext>
          </a:extLst>
        </xdr:cNvPr>
        <xdr:cNvSpPr/>
      </xdr:nvSpPr>
      <xdr:spPr>
        <a:xfrm>
          <a:off x="9156700" y="13982700"/>
          <a:ext cx="15240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Today Order </a:t>
          </a:r>
        </a:p>
        <a:p>
          <a:pPr algn="ctr"/>
          <a:r>
            <a:rPr lang="en-US" sz="2000" b="1"/>
            <a:t>Count</a:t>
          </a:r>
        </a:p>
      </xdr:txBody>
    </xdr:sp>
    <xdr:clientData/>
  </xdr:twoCellAnchor>
  <xdr:twoCellAnchor>
    <xdr:from>
      <xdr:col>0</xdr:col>
      <xdr:colOff>469900</xdr:colOff>
      <xdr:row>27</xdr:row>
      <xdr:rowOff>190500</xdr:rowOff>
    </xdr:from>
    <xdr:to>
      <xdr:col>2</xdr:col>
      <xdr:colOff>266700</xdr:colOff>
      <xdr:row>31</xdr:row>
      <xdr:rowOff>139700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244F2A3-016E-C742-8C6F-9E29AF376790}"/>
            </a:ext>
          </a:extLst>
        </xdr:cNvPr>
        <xdr:cNvSpPr/>
      </xdr:nvSpPr>
      <xdr:spPr>
        <a:xfrm>
          <a:off x="4699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Status</a:t>
          </a:r>
        </a:p>
      </xdr:txBody>
    </xdr:sp>
    <xdr:clientData/>
  </xdr:twoCellAnchor>
  <xdr:twoCellAnchor>
    <xdr:from>
      <xdr:col>0</xdr:col>
      <xdr:colOff>457200</xdr:colOff>
      <xdr:row>34</xdr:row>
      <xdr:rowOff>50800</xdr:rowOff>
    </xdr:from>
    <xdr:to>
      <xdr:col>2</xdr:col>
      <xdr:colOff>254000</xdr:colOff>
      <xdr:row>38</xdr:row>
      <xdr:rowOff>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271EACD2-8565-A042-957F-D8AF0333F83F}"/>
            </a:ext>
          </a:extLst>
        </xdr:cNvPr>
        <xdr:cNvSpPr/>
      </xdr:nvSpPr>
      <xdr:spPr>
        <a:xfrm>
          <a:off x="457200" y="75565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3</xdr:col>
      <xdr:colOff>444500</xdr:colOff>
      <xdr:row>66</xdr:row>
      <xdr:rowOff>63500</xdr:rowOff>
    </xdr:from>
    <xdr:to>
      <xdr:col>7</xdr:col>
      <xdr:colOff>88900</xdr:colOff>
      <xdr:row>69</xdr:row>
      <xdr:rowOff>38100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73B86A1E-9E60-8E41-9D94-135E289D1345}"/>
            </a:ext>
          </a:extLst>
        </xdr:cNvPr>
        <xdr:cNvSpPr/>
      </xdr:nvSpPr>
      <xdr:spPr>
        <a:xfrm>
          <a:off x="2921000" y="14084300"/>
          <a:ext cx="29464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406400</xdr:colOff>
      <xdr:row>70</xdr:row>
      <xdr:rowOff>114300</xdr:rowOff>
    </xdr:from>
    <xdr:to>
      <xdr:col>5</xdr:col>
      <xdr:colOff>800100</xdr:colOff>
      <xdr:row>74</xdr:row>
      <xdr:rowOff>139700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598F92A7-25CF-394A-8FF6-26E704B73D34}"/>
            </a:ext>
          </a:extLst>
        </xdr:cNvPr>
        <xdr:cNvSpPr/>
      </xdr:nvSpPr>
      <xdr:spPr>
        <a:xfrm>
          <a:off x="2882900" y="16573500"/>
          <a:ext cx="2044700" cy="838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6</xdr:col>
      <xdr:colOff>584200</xdr:colOff>
      <xdr:row>70</xdr:row>
      <xdr:rowOff>152400</xdr:rowOff>
    </xdr:from>
    <xdr:to>
      <xdr:col>8</xdr:col>
      <xdr:colOff>381000</xdr:colOff>
      <xdr:row>74</xdr:row>
      <xdr:rowOff>101600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3E82B43D-1524-314B-97E6-3D36ED661339}"/>
            </a:ext>
          </a:extLst>
        </xdr:cNvPr>
        <xdr:cNvSpPr/>
      </xdr:nvSpPr>
      <xdr:spPr>
        <a:xfrm>
          <a:off x="55372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 Info List</a:t>
          </a:r>
          <a:endParaRPr lang="en-US" sz="2000" b="1" baseline="0"/>
        </a:p>
      </xdr:txBody>
    </xdr:sp>
    <xdr:clientData/>
  </xdr:twoCellAnchor>
  <xdr:twoCellAnchor>
    <xdr:from>
      <xdr:col>9</xdr:col>
      <xdr:colOff>88900</xdr:colOff>
      <xdr:row>70</xdr:row>
      <xdr:rowOff>152400</xdr:rowOff>
    </xdr:from>
    <xdr:to>
      <xdr:col>10</xdr:col>
      <xdr:colOff>711200</xdr:colOff>
      <xdr:row>74</xdr:row>
      <xdr:rowOff>101600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855982B6-B190-5849-9F9A-C269E6A844C0}"/>
            </a:ext>
          </a:extLst>
        </xdr:cNvPr>
        <xdr:cNvSpPr/>
      </xdr:nvSpPr>
      <xdr:spPr>
        <a:xfrm>
          <a:off x="7518400" y="16611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</a:t>
          </a:r>
          <a:r>
            <a:rPr lang="en-US" sz="2000" b="1" baseline="0"/>
            <a:t> </a:t>
          </a:r>
          <a:r>
            <a:rPr lang="en-US" sz="2000" b="1"/>
            <a:t>List</a:t>
          </a:r>
          <a:endParaRPr lang="en-US" sz="2000" b="1" baseline="0"/>
        </a:p>
      </xdr:txBody>
    </xdr:sp>
    <xdr:clientData/>
  </xdr:twoCellAnchor>
  <xdr:twoCellAnchor>
    <xdr:from>
      <xdr:col>3</xdr:col>
      <xdr:colOff>50800</xdr:colOff>
      <xdr:row>34</xdr:row>
      <xdr:rowOff>50800</xdr:rowOff>
    </xdr:from>
    <xdr:to>
      <xdr:col>4</xdr:col>
      <xdr:colOff>787400</xdr:colOff>
      <xdr:row>38</xdr:row>
      <xdr:rowOff>88900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23538AD6-BE31-6A4C-B27E-0AFAAD549BBA}"/>
            </a:ext>
          </a:extLst>
        </xdr:cNvPr>
        <xdr:cNvSpPr/>
      </xdr:nvSpPr>
      <xdr:spPr>
        <a:xfrm>
          <a:off x="2527300" y="8445500"/>
          <a:ext cx="1562100" cy="850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Charge</a:t>
          </a:r>
        </a:p>
        <a:p>
          <a:pPr algn="ctr"/>
          <a:r>
            <a:rPr lang="en-US" sz="2000"/>
            <a:t>Transaction </a:t>
          </a:r>
        </a:p>
      </xdr:txBody>
    </xdr:sp>
    <xdr:clientData/>
  </xdr:twoCellAnchor>
  <xdr:twoCellAnchor>
    <xdr:from>
      <xdr:col>1</xdr:col>
      <xdr:colOff>762000</xdr:colOff>
      <xdr:row>34</xdr:row>
      <xdr:rowOff>114300</xdr:rowOff>
    </xdr:from>
    <xdr:to>
      <xdr:col>2</xdr:col>
      <xdr:colOff>203200</xdr:colOff>
      <xdr:row>36</xdr:row>
      <xdr:rowOff>0</xdr:rowOff>
    </xdr:to>
    <xdr:sp macro="" textlink="">
      <xdr:nvSpPr>
        <xdr:cNvPr id="56" name="7-Point Star 55">
          <a:extLst>
            <a:ext uri="{FF2B5EF4-FFF2-40B4-BE49-F238E27FC236}">
              <a16:creationId xmlns:a16="http://schemas.microsoft.com/office/drawing/2014/main" id="{5759A81D-8306-FD49-9279-13B0A7495DF2}"/>
            </a:ext>
          </a:extLst>
        </xdr:cNvPr>
        <xdr:cNvSpPr/>
      </xdr:nvSpPr>
      <xdr:spPr>
        <a:xfrm>
          <a:off x="1587500" y="7620000"/>
          <a:ext cx="266700" cy="2921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419100</xdr:colOff>
      <xdr:row>70</xdr:row>
      <xdr:rowOff>127000</xdr:rowOff>
    </xdr:from>
    <xdr:to>
      <xdr:col>14</xdr:col>
      <xdr:colOff>127000</xdr:colOff>
      <xdr:row>74</xdr:row>
      <xdr:rowOff>76200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322F79E3-3B4B-1641-80BF-57C417F34BD7}"/>
            </a:ext>
          </a:extLst>
        </xdr:cNvPr>
        <xdr:cNvSpPr/>
      </xdr:nvSpPr>
      <xdr:spPr>
        <a:xfrm>
          <a:off x="9499600" y="16586200"/>
          <a:ext cx="21844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  <a:p>
          <a:pPr algn="ctr"/>
          <a:r>
            <a:rPr lang="en-US" sz="2000" b="1"/>
            <a:t>Transaction</a:t>
          </a:r>
          <a:r>
            <a:rPr lang="en-US" sz="2000" b="1" baseline="0"/>
            <a:t> List</a:t>
          </a:r>
        </a:p>
      </xdr:txBody>
    </xdr:sp>
    <xdr:clientData/>
  </xdr:twoCellAnchor>
  <xdr:twoCellAnchor>
    <xdr:from>
      <xdr:col>0</xdr:col>
      <xdr:colOff>0</xdr:colOff>
      <xdr:row>54</xdr:row>
      <xdr:rowOff>12700</xdr:rowOff>
    </xdr:from>
    <xdr:to>
      <xdr:col>2</xdr:col>
      <xdr:colOff>279400</xdr:colOff>
      <xdr:row>56</xdr:row>
      <xdr:rowOff>177800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ED53D968-FE6D-0C49-8E6F-C1C8A5AD178C}"/>
            </a:ext>
          </a:extLst>
        </xdr:cNvPr>
        <xdr:cNvSpPr/>
      </xdr:nvSpPr>
      <xdr:spPr>
        <a:xfrm>
          <a:off x="0" y="11595100"/>
          <a:ext cx="1930400" cy="5715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Dashboard</a:t>
          </a:r>
          <a:r>
            <a:rPr lang="en-US" sz="2200" b="1" baseline="0"/>
            <a:t> </a:t>
          </a:r>
          <a:endParaRPr lang="en-US" sz="2200" b="1"/>
        </a:p>
      </xdr:txBody>
    </xdr:sp>
    <xdr:clientData/>
  </xdr:twoCellAnchor>
  <xdr:twoCellAnchor>
    <xdr:from>
      <xdr:col>0</xdr:col>
      <xdr:colOff>0</xdr:colOff>
      <xdr:row>77</xdr:row>
      <xdr:rowOff>0</xdr:rowOff>
    </xdr:from>
    <xdr:to>
      <xdr:col>2</xdr:col>
      <xdr:colOff>76200</xdr:colOff>
      <xdr:row>80</xdr:row>
      <xdr:rowOff>25400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5866291A-4A8B-9D4E-98CF-7CA1103232B4}"/>
            </a:ext>
          </a:extLst>
        </xdr:cNvPr>
        <xdr:cNvSpPr/>
      </xdr:nvSpPr>
      <xdr:spPr>
        <a:xfrm>
          <a:off x="0" y="162687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 b="1"/>
            <a:t>Transaction</a:t>
          </a:r>
        </a:p>
      </xdr:txBody>
    </xdr:sp>
    <xdr:clientData/>
  </xdr:twoCellAnchor>
  <xdr:twoCellAnchor>
    <xdr:from>
      <xdr:col>3</xdr:col>
      <xdr:colOff>355600</xdr:colOff>
      <xdr:row>81</xdr:row>
      <xdr:rowOff>101600</xdr:rowOff>
    </xdr:from>
    <xdr:to>
      <xdr:col>6</xdr:col>
      <xdr:colOff>635000</xdr:colOff>
      <xdr:row>84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4A80A680-3BC1-F140-9453-C6FFA5C824AB}"/>
            </a:ext>
          </a:extLst>
        </xdr:cNvPr>
        <xdr:cNvSpPr/>
      </xdr:nvSpPr>
      <xdr:spPr>
        <a:xfrm>
          <a:off x="2832100" y="17183100"/>
          <a:ext cx="2755900" cy="584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Transaction </a:t>
          </a:r>
        </a:p>
      </xdr:txBody>
    </xdr:sp>
    <xdr:clientData/>
  </xdr:twoCellAnchor>
  <xdr:twoCellAnchor>
    <xdr:from>
      <xdr:col>3</xdr:col>
      <xdr:colOff>368300</xdr:colOff>
      <xdr:row>86</xdr:row>
      <xdr:rowOff>12700</xdr:rowOff>
    </xdr:from>
    <xdr:to>
      <xdr:col>5</xdr:col>
      <xdr:colOff>165100</xdr:colOff>
      <xdr:row>89</xdr:row>
      <xdr:rowOff>165100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251B6764-D0BF-C444-A774-E605D9F24EC9}"/>
            </a:ext>
          </a:extLst>
        </xdr:cNvPr>
        <xdr:cNvSpPr/>
      </xdr:nvSpPr>
      <xdr:spPr>
        <a:xfrm>
          <a:off x="2844800" y="18110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List</a:t>
          </a:r>
        </a:p>
      </xdr:txBody>
    </xdr:sp>
    <xdr:clientData/>
  </xdr:twoCellAnchor>
  <xdr:twoCellAnchor>
    <xdr:from>
      <xdr:col>6</xdr:col>
      <xdr:colOff>0</xdr:colOff>
      <xdr:row>86</xdr:row>
      <xdr:rowOff>0</xdr:rowOff>
    </xdr:from>
    <xdr:to>
      <xdr:col>7</xdr:col>
      <xdr:colOff>736600</xdr:colOff>
      <xdr:row>89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0B2AC3F8-5260-0142-AD9B-48CDCE28A645}"/>
            </a:ext>
          </a:extLst>
        </xdr:cNvPr>
        <xdr:cNvSpPr/>
      </xdr:nvSpPr>
      <xdr:spPr>
        <a:xfrm>
          <a:off x="4953000" y="19723100"/>
          <a:ext cx="1562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Detail</a:t>
          </a:r>
        </a:p>
      </xdr:txBody>
    </xdr:sp>
    <xdr:clientData/>
  </xdr:twoCellAnchor>
  <xdr:twoCellAnchor>
    <xdr:from>
      <xdr:col>3</xdr:col>
      <xdr:colOff>342900</xdr:colOff>
      <xdr:row>92</xdr:row>
      <xdr:rowOff>101600</xdr:rowOff>
    </xdr:from>
    <xdr:to>
      <xdr:col>6</xdr:col>
      <xdr:colOff>622300</xdr:colOff>
      <xdr:row>95</xdr:row>
      <xdr:rowOff>190500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AB2C3615-FBEB-CF49-B81C-18895E50F48B}"/>
            </a:ext>
          </a:extLst>
        </xdr:cNvPr>
        <xdr:cNvSpPr/>
      </xdr:nvSpPr>
      <xdr:spPr>
        <a:xfrm>
          <a:off x="2819400" y="19418300"/>
          <a:ext cx="2755900" cy="698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 Charge</a:t>
          </a:r>
        </a:p>
        <a:p>
          <a:pPr algn="ctr"/>
          <a:r>
            <a:rPr lang="en-US" sz="2000" b="1"/>
            <a:t>Transaction </a:t>
          </a:r>
        </a:p>
      </xdr:txBody>
    </xdr:sp>
    <xdr:clientData/>
  </xdr:twoCellAnchor>
  <xdr:twoCellAnchor>
    <xdr:from>
      <xdr:col>3</xdr:col>
      <xdr:colOff>330200</xdr:colOff>
      <xdr:row>98</xdr:row>
      <xdr:rowOff>12700</xdr:rowOff>
    </xdr:from>
    <xdr:to>
      <xdr:col>5</xdr:col>
      <xdr:colOff>288636</xdr:colOff>
      <xdr:row>100</xdr:row>
      <xdr:rowOff>173182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2F9FC0D-6F91-6644-AADA-F24846B355E8}"/>
            </a:ext>
          </a:extLst>
        </xdr:cNvPr>
        <xdr:cNvSpPr/>
      </xdr:nvSpPr>
      <xdr:spPr>
        <a:xfrm>
          <a:off x="2824018" y="22468609"/>
          <a:ext cx="1620982" cy="576118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List</a:t>
          </a:r>
        </a:p>
      </xdr:txBody>
    </xdr:sp>
    <xdr:clientData/>
  </xdr:twoCellAnchor>
  <xdr:twoCellAnchor>
    <xdr:from>
      <xdr:col>5</xdr:col>
      <xdr:colOff>831271</xdr:colOff>
      <xdr:row>97</xdr:row>
      <xdr:rowOff>207817</xdr:rowOff>
    </xdr:from>
    <xdr:to>
      <xdr:col>8</xdr:col>
      <xdr:colOff>196272</xdr:colOff>
      <xdr:row>100</xdr:row>
      <xdr:rowOff>150090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D46FEA19-DF86-AF42-B256-982B67FD2A90}"/>
            </a:ext>
          </a:extLst>
        </xdr:cNvPr>
        <xdr:cNvSpPr/>
      </xdr:nvSpPr>
      <xdr:spPr>
        <a:xfrm>
          <a:off x="4987635" y="22455908"/>
          <a:ext cx="1858819" cy="565727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Detail</a:t>
          </a:r>
        </a:p>
      </xdr:txBody>
    </xdr:sp>
    <xdr:clientData/>
  </xdr:twoCellAnchor>
  <xdr:twoCellAnchor>
    <xdr:from>
      <xdr:col>8</xdr:col>
      <xdr:colOff>0</xdr:colOff>
      <xdr:row>21</xdr:row>
      <xdr:rowOff>0</xdr:rowOff>
    </xdr:from>
    <xdr:to>
      <xdr:col>9</xdr:col>
      <xdr:colOff>622300</xdr:colOff>
      <xdr:row>24</xdr:row>
      <xdr:rowOff>152400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231AC42F-4415-A54E-BF40-C2A6ABDCEC2E}"/>
            </a:ext>
          </a:extLst>
        </xdr:cNvPr>
        <xdr:cNvSpPr/>
      </xdr:nvSpPr>
      <xdr:spPr>
        <a:xfrm>
          <a:off x="6604000" y="48641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</xdr:txBody>
    </xdr:sp>
    <xdr:clientData/>
  </xdr:twoCellAnchor>
  <xdr:twoCellAnchor>
    <xdr:from>
      <xdr:col>8</xdr:col>
      <xdr:colOff>38100</xdr:colOff>
      <xdr:row>27</xdr:row>
      <xdr:rowOff>190500</xdr:rowOff>
    </xdr:from>
    <xdr:to>
      <xdr:col>9</xdr:col>
      <xdr:colOff>660400</xdr:colOff>
      <xdr:row>31</xdr:row>
      <xdr:rowOff>139700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7EC5B925-7BAC-9741-A3AC-B4B6012FE512}"/>
            </a:ext>
          </a:extLst>
        </xdr:cNvPr>
        <xdr:cNvSpPr/>
      </xdr:nvSpPr>
      <xdr:spPr>
        <a:xfrm>
          <a:off x="6642100" y="627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Listing</a:t>
          </a:r>
        </a:p>
      </xdr:txBody>
    </xdr:sp>
    <xdr:clientData/>
  </xdr:twoCellAnchor>
  <xdr:twoCellAnchor>
    <xdr:from>
      <xdr:col>8</xdr:col>
      <xdr:colOff>50800</xdr:colOff>
      <xdr:row>34</xdr:row>
      <xdr:rowOff>38100</xdr:rowOff>
    </xdr:from>
    <xdr:to>
      <xdr:col>9</xdr:col>
      <xdr:colOff>673100</xdr:colOff>
      <xdr:row>37</xdr:row>
      <xdr:rowOff>190500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E1DF7130-6B53-114E-A252-419D67516026}"/>
            </a:ext>
          </a:extLst>
        </xdr:cNvPr>
        <xdr:cNvSpPr/>
      </xdr:nvSpPr>
      <xdr:spPr>
        <a:xfrm>
          <a:off x="6654800" y="7543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Search Customer</a:t>
          </a:r>
        </a:p>
      </xdr:txBody>
    </xdr:sp>
    <xdr:clientData/>
  </xdr:twoCellAnchor>
  <xdr:twoCellAnchor>
    <xdr:from>
      <xdr:col>8</xdr:col>
      <xdr:colOff>63500</xdr:colOff>
      <xdr:row>40</xdr:row>
      <xdr:rowOff>76200</xdr:rowOff>
    </xdr:from>
    <xdr:to>
      <xdr:col>9</xdr:col>
      <xdr:colOff>723900</xdr:colOff>
      <xdr:row>44</xdr:row>
      <xdr:rowOff>88900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7E04DD69-B7A4-CC4C-B8BB-4FD2BBC0FD38}"/>
            </a:ext>
          </a:extLst>
        </xdr:cNvPr>
        <xdr:cNvSpPr/>
      </xdr:nvSpPr>
      <xdr:spPr>
        <a:xfrm>
          <a:off x="6667500" y="10045700"/>
          <a:ext cx="1485900" cy="8255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Customer</a:t>
          </a:r>
        </a:p>
        <a:p>
          <a:pPr algn="ctr"/>
          <a:r>
            <a:rPr lang="en-US" sz="2000"/>
            <a:t>Info Detail</a:t>
          </a:r>
        </a:p>
      </xdr:txBody>
    </xdr:sp>
    <xdr:clientData/>
  </xdr:twoCellAnchor>
  <xdr:twoCellAnchor>
    <xdr:from>
      <xdr:col>13</xdr:col>
      <xdr:colOff>457200</xdr:colOff>
      <xdr:row>59</xdr:row>
      <xdr:rowOff>203200</xdr:rowOff>
    </xdr:from>
    <xdr:to>
      <xdr:col>14</xdr:col>
      <xdr:colOff>1079500</xdr:colOff>
      <xdr:row>62</xdr:row>
      <xdr:rowOff>203200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28C988B6-2FB8-4142-8C3E-F26E322FACA0}"/>
            </a:ext>
          </a:extLst>
        </xdr:cNvPr>
        <xdr:cNvSpPr/>
      </xdr:nvSpPr>
      <xdr:spPr>
        <a:xfrm>
          <a:off x="11188700" y="13995400"/>
          <a:ext cx="1447800" cy="914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Top</a:t>
          </a:r>
          <a:r>
            <a:rPr lang="en-US" sz="2000" b="1" baseline="0"/>
            <a:t> 3 Product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102</xdr:row>
      <xdr:rowOff>0</xdr:rowOff>
    </xdr:from>
    <xdr:to>
      <xdr:col>2</xdr:col>
      <xdr:colOff>76200</xdr:colOff>
      <xdr:row>105</xdr:row>
      <xdr:rowOff>25400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8CEFFA9F-1692-7442-B073-F16DB8FE5A94}"/>
            </a:ext>
          </a:extLst>
        </xdr:cNvPr>
        <xdr:cNvSpPr/>
      </xdr:nvSpPr>
      <xdr:spPr>
        <a:xfrm>
          <a:off x="0" y="22783800"/>
          <a:ext cx="1727200" cy="635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Coin</a:t>
          </a:r>
        </a:p>
      </xdr:txBody>
    </xdr:sp>
    <xdr:clientData/>
  </xdr:twoCellAnchor>
  <xdr:twoCellAnchor>
    <xdr:from>
      <xdr:col>3</xdr:col>
      <xdr:colOff>0</xdr:colOff>
      <xdr:row>106</xdr:row>
      <xdr:rowOff>0</xdr:rowOff>
    </xdr:from>
    <xdr:to>
      <xdr:col>6</xdr:col>
      <xdr:colOff>431800</xdr:colOff>
      <xdr:row>109</xdr:row>
      <xdr:rowOff>152400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CCB9FA21-C866-B244-B22A-CA8584362C50}"/>
            </a:ext>
          </a:extLst>
        </xdr:cNvPr>
        <xdr:cNvSpPr/>
      </xdr:nvSpPr>
      <xdr:spPr>
        <a:xfrm>
          <a:off x="2476500" y="23596600"/>
          <a:ext cx="2908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 </a:t>
          </a:r>
        </a:p>
      </xdr:txBody>
    </xdr:sp>
    <xdr:clientData/>
  </xdr:twoCellAnchor>
  <xdr:twoCellAnchor>
    <xdr:from>
      <xdr:col>2</xdr:col>
      <xdr:colOff>787400</xdr:colOff>
      <xdr:row>112</xdr:row>
      <xdr:rowOff>0</xdr:rowOff>
    </xdr:from>
    <xdr:to>
      <xdr:col>5</xdr:col>
      <xdr:colOff>152400</xdr:colOff>
      <xdr:row>115</xdr:row>
      <xdr:rowOff>152400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55F5E2C4-D9F2-EE4A-8E4D-A226171E27C8}"/>
            </a:ext>
          </a:extLst>
        </xdr:cNvPr>
        <xdr:cNvSpPr/>
      </xdr:nvSpPr>
      <xdr:spPr>
        <a:xfrm>
          <a:off x="2438400" y="26441400"/>
          <a:ext cx="1841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Request Listing</a:t>
          </a:r>
          <a:endParaRPr lang="en-US" sz="2000" b="1"/>
        </a:p>
      </xdr:txBody>
    </xdr:sp>
    <xdr:clientData/>
  </xdr:twoCellAnchor>
  <xdr:twoCellAnchor>
    <xdr:from>
      <xdr:col>5</xdr:col>
      <xdr:colOff>546100</xdr:colOff>
      <xdr:row>111</xdr:row>
      <xdr:rowOff>190500</xdr:rowOff>
    </xdr:from>
    <xdr:to>
      <xdr:col>7</xdr:col>
      <xdr:colOff>342900</xdr:colOff>
      <xdr:row>130</xdr:row>
      <xdr:rowOff>152400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6D3F2DCC-C79D-6747-A24E-1A4610B91B4F}"/>
            </a:ext>
          </a:extLst>
        </xdr:cNvPr>
        <xdr:cNvSpPr/>
      </xdr:nvSpPr>
      <xdr:spPr>
        <a:xfrm>
          <a:off x="4673600" y="26428700"/>
          <a:ext cx="1447800" cy="38227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121</xdr:row>
      <xdr:rowOff>127000</xdr:rowOff>
    </xdr:from>
    <xdr:to>
      <xdr:col>5</xdr:col>
      <xdr:colOff>152400</xdr:colOff>
      <xdr:row>125</xdr:row>
      <xdr:rowOff>76200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4600BE45-CB4D-CA4C-B692-93F1667C0546}"/>
            </a:ext>
          </a:extLst>
        </xdr:cNvPr>
        <xdr:cNvSpPr/>
      </xdr:nvSpPr>
      <xdr:spPr>
        <a:xfrm>
          <a:off x="2425700" y="283972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Approve Listing</a:t>
          </a:r>
          <a:endParaRPr lang="en-US" sz="2000" b="1"/>
        </a:p>
      </xdr:txBody>
    </xdr:sp>
    <xdr:clientData/>
  </xdr:twoCellAnchor>
  <xdr:twoCellAnchor>
    <xdr:from>
      <xdr:col>2</xdr:col>
      <xdr:colOff>774700</xdr:colOff>
      <xdr:row>126</xdr:row>
      <xdr:rowOff>127000</xdr:rowOff>
    </xdr:from>
    <xdr:to>
      <xdr:col>5</xdr:col>
      <xdr:colOff>127000</xdr:colOff>
      <xdr:row>130</xdr:row>
      <xdr:rowOff>76200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34B317D9-B74D-124E-998C-A57CFD21B5D4}"/>
            </a:ext>
          </a:extLst>
        </xdr:cNvPr>
        <xdr:cNvSpPr/>
      </xdr:nvSpPr>
      <xdr:spPr>
        <a:xfrm>
          <a:off x="2425700" y="29413200"/>
          <a:ext cx="1828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Reject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112</xdr:row>
      <xdr:rowOff>0</xdr:rowOff>
    </xdr:from>
    <xdr:to>
      <xdr:col>9</xdr:col>
      <xdr:colOff>622300</xdr:colOff>
      <xdr:row>120</xdr:row>
      <xdr:rowOff>101600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56F045DA-664D-1343-AFEB-E7CDEA073B97}"/>
            </a:ext>
          </a:extLst>
        </xdr:cNvPr>
        <xdr:cNvSpPr/>
      </xdr:nvSpPr>
      <xdr:spPr>
        <a:xfrm>
          <a:off x="6604000" y="24815800"/>
          <a:ext cx="1447800" cy="1727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Decision</a:t>
          </a:r>
          <a:endParaRPr lang="en-US" sz="2000" b="1"/>
        </a:p>
      </xdr:txBody>
    </xdr:sp>
    <xdr:clientData/>
  </xdr:twoCellAnchor>
  <xdr:twoCellAnchor>
    <xdr:from>
      <xdr:col>2</xdr:col>
      <xdr:colOff>787400</xdr:colOff>
      <xdr:row>116</xdr:row>
      <xdr:rowOff>139700</xdr:rowOff>
    </xdr:from>
    <xdr:to>
      <xdr:col>5</xdr:col>
      <xdr:colOff>165100</xdr:colOff>
      <xdr:row>120</xdr:row>
      <xdr:rowOff>88900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D6C55F22-D9FF-0B44-BA57-888607FF8323}"/>
            </a:ext>
          </a:extLst>
        </xdr:cNvPr>
        <xdr:cNvSpPr/>
      </xdr:nvSpPr>
      <xdr:spPr>
        <a:xfrm>
          <a:off x="2438400" y="27393900"/>
          <a:ext cx="1854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Wating Listing</a:t>
          </a:r>
          <a:endParaRPr lang="en-US" sz="2000" b="1"/>
        </a:p>
      </xdr:txBody>
    </xdr:sp>
    <xdr:clientData/>
  </xdr:twoCellAnchor>
  <xdr:twoCellAnchor>
    <xdr:from>
      <xdr:col>8</xdr:col>
      <xdr:colOff>0</xdr:colOff>
      <xdr:row>122</xdr:row>
      <xdr:rowOff>25400</xdr:rowOff>
    </xdr:from>
    <xdr:to>
      <xdr:col>9</xdr:col>
      <xdr:colOff>622300</xdr:colOff>
      <xdr:row>125</xdr:row>
      <xdr:rowOff>177800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0F6FFF79-2E43-5942-A71D-D01EF531601A}"/>
            </a:ext>
          </a:extLst>
        </xdr:cNvPr>
        <xdr:cNvSpPr/>
      </xdr:nvSpPr>
      <xdr:spPr>
        <a:xfrm>
          <a:off x="6604000" y="268732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Re-Decision</a:t>
          </a:r>
          <a:endParaRPr lang="en-US" sz="2000" b="1"/>
        </a:p>
      </xdr:txBody>
    </xdr:sp>
    <xdr:clientData/>
  </xdr:twoCellAnchor>
  <xdr:twoCellAnchor>
    <xdr:from>
      <xdr:col>2</xdr:col>
      <xdr:colOff>812800</xdr:colOff>
      <xdr:row>133</xdr:row>
      <xdr:rowOff>177800</xdr:rowOff>
    </xdr:from>
    <xdr:to>
      <xdr:col>6</xdr:col>
      <xdr:colOff>444500</xdr:colOff>
      <xdr:row>137</xdr:row>
      <xdr:rowOff>127000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C1A81156-45C9-DA4E-87A4-4885152BE8F5}"/>
            </a:ext>
          </a:extLst>
        </xdr:cNvPr>
        <xdr:cNvSpPr/>
      </xdr:nvSpPr>
      <xdr:spPr>
        <a:xfrm>
          <a:off x="2463800" y="29260800"/>
          <a:ext cx="2933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Add Coin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140</xdr:row>
      <xdr:rowOff>0</xdr:rowOff>
    </xdr:from>
    <xdr:to>
      <xdr:col>4</xdr:col>
      <xdr:colOff>812800</xdr:colOff>
      <xdr:row>143</xdr:row>
      <xdr:rowOff>152400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041AA21F-EFE2-A943-8EA2-F16301CBB46B}"/>
            </a:ext>
          </a:extLst>
        </xdr:cNvPr>
        <xdr:cNvSpPr/>
      </xdr:nvSpPr>
      <xdr:spPr>
        <a:xfrm>
          <a:off x="2476500" y="32131000"/>
          <a:ext cx="1638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</a:t>
          </a:r>
          <a:r>
            <a:rPr lang="en-US" sz="2000" b="1" baseline="0"/>
            <a:t>By ID</a:t>
          </a:r>
          <a:endParaRPr lang="en-US" sz="2000" b="1"/>
        </a:p>
      </xdr:txBody>
    </xdr:sp>
    <xdr:clientData/>
  </xdr:twoCellAnchor>
  <xdr:twoCellAnchor>
    <xdr:from>
      <xdr:col>5</xdr:col>
      <xdr:colOff>355600</xdr:colOff>
      <xdr:row>139</xdr:row>
      <xdr:rowOff>190500</xdr:rowOff>
    </xdr:from>
    <xdr:to>
      <xdr:col>7</xdr:col>
      <xdr:colOff>152400</xdr:colOff>
      <xdr:row>143</xdr:row>
      <xdr:rowOff>139700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7B817E32-00C8-FB4D-88CB-4135EF29D07A}"/>
            </a:ext>
          </a:extLst>
        </xdr:cNvPr>
        <xdr:cNvSpPr/>
      </xdr:nvSpPr>
      <xdr:spPr>
        <a:xfrm>
          <a:off x="4483100" y="30492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 Coin</a:t>
          </a:r>
        </a:p>
      </xdr:txBody>
    </xdr:sp>
    <xdr:clientData/>
  </xdr:twoCellAnchor>
  <xdr:twoCellAnchor>
    <xdr:from>
      <xdr:col>7</xdr:col>
      <xdr:colOff>292100</xdr:colOff>
      <xdr:row>88</xdr:row>
      <xdr:rowOff>127000</xdr:rowOff>
    </xdr:from>
    <xdr:to>
      <xdr:col>9</xdr:col>
      <xdr:colOff>88900</xdr:colOff>
      <xdr:row>92</xdr:row>
      <xdr:rowOff>76200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05F5C978-7BD9-434D-89AF-B660D4D94060}"/>
            </a:ext>
          </a:extLst>
        </xdr:cNvPr>
        <xdr:cNvSpPr/>
      </xdr:nvSpPr>
      <xdr:spPr>
        <a:xfrm>
          <a:off x="6070600" y="186309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6</xdr:col>
      <xdr:colOff>749300</xdr:colOff>
      <xdr:row>142</xdr:row>
      <xdr:rowOff>127000</xdr:rowOff>
    </xdr:from>
    <xdr:to>
      <xdr:col>8</xdr:col>
      <xdr:colOff>546100</xdr:colOff>
      <xdr:row>146</xdr:row>
      <xdr:rowOff>76200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1730EB98-5EFB-D14D-A443-767233AF3005}"/>
            </a:ext>
          </a:extLst>
        </xdr:cNvPr>
        <xdr:cNvSpPr/>
      </xdr:nvSpPr>
      <xdr:spPr>
        <a:xfrm>
          <a:off x="5702300" y="31038800"/>
          <a:ext cx="144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149</xdr:row>
      <xdr:rowOff>0</xdr:rowOff>
    </xdr:from>
    <xdr:to>
      <xdr:col>6</xdr:col>
      <xdr:colOff>330200</xdr:colOff>
      <xdr:row>152</xdr:row>
      <xdr:rowOff>152400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A578FA0E-B605-B946-8A09-BCF4D53C064A}"/>
            </a:ext>
          </a:extLst>
        </xdr:cNvPr>
        <xdr:cNvSpPr/>
      </xdr:nvSpPr>
      <xdr:spPr>
        <a:xfrm>
          <a:off x="2476500" y="323342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558800</xdr:colOff>
      <xdr:row>157</xdr:row>
      <xdr:rowOff>152400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B266E49A-C8A8-5345-9A06-46AE377C6B18}"/>
            </a:ext>
          </a:extLst>
        </xdr:cNvPr>
        <xdr:cNvSpPr/>
      </xdr:nvSpPr>
      <xdr:spPr>
        <a:xfrm>
          <a:off x="2476500" y="34975800"/>
          <a:ext cx="2209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160</xdr:row>
      <xdr:rowOff>0</xdr:rowOff>
    </xdr:from>
    <xdr:to>
      <xdr:col>6</xdr:col>
      <xdr:colOff>241300</xdr:colOff>
      <xdr:row>163</xdr:row>
      <xdr:rowOff>152400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AC4AE045-AADA-CA43-AB26-16BAFD6BFAF5}"/>
            </a:ext>
          </a:extLst>
        </xdr:cNvPr>
        <xdr:cNvSpPr/>
      </xdr:nvSpPr>
      <xdr:spPr>
        <a:xfrm>
          <a:off x="2476500" y="34569400"/>
          <a:ext cx="27178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Exchange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165</xdr:row>
      <xdr:rowOff>0</xdr:rowOff>
    </xdr:from>
    <xdr:to>
      <xdr:col>4</xdr:col>
      <xdr:colOff>622300</xdr:colOff>
      <xdr:row>168</xdr:row>
      <xdr:rowOff>152400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2C3CCBCB-3EC0-094F-9A7F-E01982F93178}"/>
            </a:ext>
          </a:extLst>
        </xdr:cNvPr>
        <xdr:cNvSpPr/>
      </xdr:nvSpPr>
      <xdr:spPr>
        <a:xfrm>
          <a:off x="2476500" y="3558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  <a:endParaRPr lang="en-US" sz="2000" b="1"/>
        </a:p>
      </xdr:txBody>
    </xdr:sp>
    <xdr:clientData/>
  </xdr:twoCellAnchor>
  <xdr:twoCellAnchor>
    <xdr:from>
      <xdr:col>0</xdr:col>
      <xdr:colOff>0</xdr:colOff>
      <xdr:row>170</xdr:row>
      <xdr:rowOff>0</xdr:rowOff>
    </xdr:from>
    <xdr:to>
      <xdr:col>2</xdr:col>
      <xdr:colOff>139700</xdr:colOff>
      <xdr:row>173</xdr:row>
      <xdr:rowOff>139700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70C0B107-62E6-594A-AE46-0B87FF950166}"/>
            </a:ext>
          </a:extLst>
        </xdr:cNvPr>
        <xdr:cNvSpPr/>
      </xdr:nvSpPr>
      <xdr:spPr>
        <a:xfrm>
          <a:off x="0" y="36779200"/>
          <a:ext cx="1790700" cy="7493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Customer</a:t>
          </a:r>
        </a:p>
      </xdr:txBody>
    </xdr:sp>
    <xdr:clientData/>
  </xdr:twoCellAnchor>
  <xdr:twoCellAnchor>
    <xdr:from>
      <xdr:col>3</xdr:col>
      <xdr:colOff>0</xdr:colOff>
      <xdr:row>176</xdr:row>
      <xdr:rowOff>0</xdr:rowOff>
    </xdr:from>
    <xdr:to>
      <xdr:col>6</xdr:col>
      <xdr:colOff>215900</xdr:colOff>
      <xdr:row>179</xdr:row>
      <xdr:rowOff>152400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094560B2-CA0F-FD4A-8B39-63ADBA70119A}"/>
            </a:ext>
          </a:extLst>
        </xdr:cNvPr>
        <xdr:cNvSpPr/>
      </xdr:nvSpPr>
      <xdr:spPr>
        <a:xfrm>
          <a:off x="2476500" y="37998400"/>
          <a:ext cx="26924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Listing</a:t>
          </a:r>
        </a:p>
      </xdr:txBody>
    </xdr:sp>
    <xdr:clientData/>
  </xdr:twoCellAnchor>
  <xdr:twoCellAnchor>
    <xdr:from>
      <xdr:col>3</xdr:col>
      <xdr:colOff>0</xdr:colOff>
      <xdr:row>181</xdr:row>
      <xdr:rowOff>0</xdr:rowOff>
    </xdr:from>
    <xdr:to>
      <xdr:col>5</xdr:col>
      <xdr:colOff>355600</xdr:colOff>
      <xdr:row>184</xdr:row>
      <xdr:rowOff>152400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0D75C1B3-4683-F64E-BEE2-C7F0EDD481ED}"/>
            </a:ext>
          </a:extLst>
        </xdr:cNvPr>
        <xdr:cNvSpPr/>
      </xdr:nvSpPr>
      <xdr:spPr>
        <a:xfrm>
          <a:off x="2476500" y="40474900"/>
          <a:ext cx="20066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Customer Listing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187</xdr:row>
      <xdr:rowOff>0</xdr:rowOff>
    </xdr:from>
    <xdr:to>
      <xdr:col>6</xdr:col>
      <xdr:colOff>152400</xdr:colOff>
      <xdr:row>190</xdr:row>
      <xdr:rowOff>152400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B1A5F1A0-A5B4-1F48-86E7-7A58022E6C05}"/>
            </a:ext>
          </a:extLst>
        </xdr:cNvPr>
        <xdr:cNvSpPr/>
      </xdr:nvSpPr>
      <xdr:spPr>
        <a:xfrm>
          <a:off x="2476500" y="40233600"/>
          <a:ext cx="26289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Search Customer</a:t>
          </a:r>
        </a:p>
      </xdr:txBody>
    </xdr:sp>
    <xdr:clientData/>
  </xdr:twoCellAnchor>
  <xdr:twoCellAnchor>
    <xdr:from>
      <xdr:col>2</xdr:col>
      <xdr:colOff>812800</xdr:colOff>
      <xdr:row>199</xdr:row>
      <xdr:rowOff>88900</xdr:rowOff>
    </xdr:from>
    <xdr:to>
      <xdr:col>6</xdr:col>
      <xdr:colOff>228600</xdr:colOff>
      <xdr:row>203</xdr:row>
      <xdr:rowOff>165100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2DF95558-0AC3-C544-B8DB-F6823C0C99A9}"/>
            </a:ext>
          </a:extLst>
        </xdr:cNvPr>
        <xdr:cNvSpPr/>
      </xdr:nvSpPr>
      <xdr:spPr>
        <a:xfrm>
          <a:off x="2463800" y="44221400"/>
          <a:ext cx="2717800" cy="889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Customer</a:t>
          </a:r>
        </a:p>
        <a:p>
          <a:pPr algn="ctr"/>
          <a:r>
            <a:rPr lang="en-US" sz="2000" b="1"/>
            <a:t>Info Detail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6</xdr:col>
      <xdr:colOff>508000</xdr:colOff>
      <xdr:row>196</xdr:row>
      <xdr:rowOff>152400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A72FDF9-0413-6C4A-9863-56E6CD787186}"/>
            </a:ext>
          </a:extLst>
        </xdr:cNvPr>
        <xdr:cNvSpPr/>
      </xdr:nvSpPr>
      <xdr:spPr>
        <a:xfrm>
          <a:off x="2476500" y="42913300"/>
          <a:ext cx="29845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Search By ID/Nickname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205</xdr:row>
      <xdr:rowOff>0</xdr:rowOff>
    </xdr:from>
    <xdr:to>
      <xdr:col>4</xdr:col>
      <xdr:colOff>558800</xdr:colOff>
      <xdr:row>208</xdr:row>
      <xdr:rowOff>50800</xdr:rowOff>
    </xdr:to>
    <xdr:sp macro="" textlink="">
      <xdr:nvSpPr>
        <xdr:cNvPr id="100" name="Rectangle 99">
          <a:extLst>
            <a:ext uri="{FF2B5EF4-FFF2-40B4-BE49-F238E27FC236}">
              <a16:creationId xmlns:a16="http://schemas.microsoft.com/office/drawing/2014/main" id="{A77CBB53-836D-004E-AA6B-01DFB73FED65}"/>
            </a:ext>
          </a:extLst>
        </xdr:cNvPr>
        <xdr:cNvSpPr/>
      </xdr:nvSpPr>
      <xdr:spPr>
        <a:xfrm>
          <a:off x="2476500" y="438912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Profile</a:t>
          </a:r>
        </a:p>
      </xdr:txBody>
    </xdr:sp>
    <xdr:clientData/>
  </xdr:twoCellAnchor>
  <xdr:twoCellAnchor>
    <xdr:from>
      <xdr:col>5</xdr:col>
      <xdr:colOff>25400</xdr:colOff>
      <xdr:row>205</xdr:row>
      <xdr:rowOff>0</xdr:rowOff>
    </xdr:from>
    <xdr:to>
      <xdr:col>7</xdr:col>
      <xdr:colOff>368300</xdr:colOff>
      <xdr:row>208</xdr:row>
      <xdr:rowOff>50800</xdr:rowOff>
    </xdr:to>
    <xdr:sp macro="" textlink="">
      <xdr:nvSpPr>
        <xdr:cNvPr id="101" name="Rectangle 100">
          <a:extLst>
            <a:ext uri="{FF2B5EF4-FFF2-40B4-BE49-F238E27FC236}">
              <a16:creationId xmlns:a16="http://schemas.microsoft.com/office/drawing/2014/main" id="{B1E60A42-FA53-CD45-8F91-87E563A28AB7}"/>
            </a:ext>
          </a:extLst>
        </xdr:cNvPr>
        <xdr:cNvSpPr/>
      </xdr:nvSpPr>
      <xdr:spPr>
        <a:xfrm>
          <a:off x="4152900" y="45351700"/>
          <a:ext cx="19939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Order History</a:t>
          </a:r>
        </a:p>
      </xdr:txBody>
    </xdr:sp>
    <xdr:clientData/>
  </xdr:twoCellAnchor>
  <xdr:twoCellAnchor>
    <xdr:from>
      <xdr:col>7</xdr:col>
      <xdr:colOff>711200</xdr:colOff>
      <xdr:row>205</xdr:row>
      <xdr:rowOff>12700</xdr:rowOff>
    </xdr:from>
    <xdr:to>
      <xdr:col>10</xdr:col>
      <xdr:colOff>342900</xdr:colOff>
      <xdr:row>208</xdr:row>
      <xdr:rowOff>63500</xdr:rowOff>
    </xdr:to>
    <xdr:sp macro="" textlink="">
      <xdr:nvSpPr>
        <xdr:cNvPr id="102" name="Rectangle 101">
          <a:extLst>
            <a:ext uri="{FF2B5EF4-FFF2-40B4-BE49-F238E27FC236}">
              <a16:creationId xmlns:a16="http://schemas.microsoft.com/office/drawing/2014/main" id="{184CDBB6-1A39-6943-93C2-6116AD6EC22E}"/>
            </a:ext>
          </a:extLst>
        </xdr:cNvPr>
        <xdr:cNvSpPr/>
      </xdr:nvSpPr>
      <xdr:spPr>
        <a:xfrm>
          <a:off x="6489700" y="45364400"/>
          <a:ext cx="2108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Charge</a:t>
          </a:r>
          <a:r>
            <a:rPr lang="en-US" sz="2000" b="1" baseline="0"/>
            <a:t> </a:t>
          </a:r>
          <a:r>
            <a:rPr lang="en-US" sz="2000" b="1"/>
            <a:t>History</a:t>
          </a:r>
        </a:p>
      </xdr:txBody>
    </xdr:sp>
    <xdr:clientData/>
  </xdr:twoCellAnchor>
  <xdr:twoCellAnchor>
    <xdr:from>
      <xdr:col>0</xdr:col>
      <xdr:colOff>0</xdr:colOff>
      <xdr:row>211</xdr:row>
      <xdr:rowOff>0</xdr:rowOff>
    </xdr:from>
    <xdr:to>
      <xdr:col>2</xdr:col>
      <xdr:colOff>88900</xdr:colOff>
      <xdr:row>214</xdr:row>
      <xdr:rowOff>152400</xdr:rowOff>
    </xdr:to>
    <xdr:sp macro="" textlink="">
      <xdr:nvSpPr>
        <xdr:cNvPr id="103" name="Rectangle 102">
          <a:extLst>
            <a:ext uri="{FF2B5EF4-FFF2-40B4-BE49-F238E27FC236}">
              <a16:creationId xmlns:a16="http://schemas.microsoft.com/office/drawing/2014/main" id="{16DE00AB-675C-4D43-A49B-8349C779E98A}"/>
            </a:ext>
          </a:extLst>
        </xdr:cNvPr>
        <xdr:cNvSpPr/>
      </xdr:nvSpPr>
      <xdr:spPr>
        <a:xfrm>
          <a:off x="0" y="45123100"/>
          <a:ext cx="17399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Finance</a:t>
          </a:r>
        </a:p>
      </xdr:txBody>
    </xdr:sp>
    <xdr:clientData/>
  </xdr:twoCellAnchor>
  <xdr:twoCellAnchor>
    <xdr:from>
      <xdr:col>3</xdr:col>
      <xdr:colOff>0</xdr:colOff>
      <xdr:row>216</xdr:row>
      <xdr:rowOff>0</xdr:rowOff>
    </xdr:from>
    <xdr:to>
      <xdr:col>5</xdr:col>
      <xdr:colOff>774700</xdr:colOff>
      <xdr:row>219</xdr:row>
      <xdr:rowOff>152400</xdr:rowOff>
    </xdr:to>
    <xdr:sp macro="" textlink="">
      <xdr:nvSpPr>
        <xdr:cNvPr id="104" name="Rectangle 103">
          <a:extLst>
            <a:ext uri="{FF2B5EF4-FFF2-40B4-BE49-F238E27FC236}">
              <a16:creationId xmlns:a16="http://schemas.microsoft.com/office/drawing/2014/main" id="{5DED38F7-556D-764C-B18E-4580D634A06D}"/>
            </a:ext>
          </a:extLst>
        </xdr:cNvPr>
        <xdr:cNvSpPr/>
      </xdr:nvSpPr>
      <xdr:spPr>
        <a:xfrm>
          <a:off x="2476500" y="46139100"/>
          <a:ext cx="2425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Sale by</a:t>
          </a:r>
        </a:p>
        <a:p>
          <a:pPr algn="ctr"/>
          <a:r>
            <a:rPr lang="en-US" sz="2000" b="1" baseline="0"/>
            <a:t>D/M/Y</a:t>
          </a:r>
          <a:endParaRPr lang="en-US" sz="2000" b="1"/>
        </a:p>
      </xdr:txBody>
    </xdr:sp>
    <xdr:clientData/>
  </xdr:twoCellAnchor>
  <xdr:twoCellAnchor>
    <xdr:from>
      <xdr:col>2</xdr:col>
      <xdr:colOff>800100</xdr:colOff>
      <xdr:row>221</xdr:row>
      <xdr:rowOff>190500</xdr:rowOff>
    </xdr:from>
    <xdr:to>
      <xdr:col>4</xdr:col>
      <xdr:colOff>533400</xdr:colOff>
      <xdr:row>225</xdr:row>
      <xdr:rowOff>38100</xdr:rowOff>
    </xdr:to>
    <xdr:sp macro="" textlink="">
      <xdr:nvSpPr>
        <xdr:cNvPr id="105" name="Rectangle 104">
          <a:extLst>
            <a:ext uri="{FF2B5EF4-FFF2-40B4-BE49-F238E27FC236}">
              <a16:creationId xmlns:a16="http://schemas.microsoft.com/office/drawing/2014/main" id="{1E47976A-A8F3-DC4E-ABD4-DEAF4938A93E}"/>
            </a:ext>
          </a:extLst>
        </xdr:cNvPr>
        <xdr:cNvSpPr/>
      </xdr:nvSpPr>
      <xdr:spPr>
        <a:xfrm>
          <a:off x="2451100" y="473456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Daily Sale</a:t>
          </a:r>
        </a:p>
      </xdr:txBody>
    </xdr:sp>
    <xdr:clientData/>
  </xdr:twoCellAnchor>
  <xdr:twoCellAnchor>
    <xdr:from>
      <xdr:col>5</xdr:col>
      <xdr:colOff>0</xdr:colOff>
      <xdr:row>222</xdr:row>
      <xdr:rowOff>0</xdr:rowOff>
    </xdr:from>
    <xdr:to>
      <xdr:col>6</xdr:col>
      <xdr:colOff>558800</xdr:colOff>
      <xdr:row>225</xdr:row>
      <xdr:rowOff>50800</xdr:rowOff>
    </xdr:to>
    <xdr:sp macro="" textlink="">
      <xdr:nvSpPr>
        <xdr:cNvPr id="106" name="Rectangle 105">
          <a:extLst>
            <a:ext uri="{FF2B5EF4-FFF2-40B4-BE49-F238E27FC236}">
              <a16:creationId xmlns:a16="http://schemas.microsoft.com/office/drawing/2014/main" id="{5A2A8D0F-F450-B542-A435-7FF6EE0E729D}"/>
            </a:ext>
          </a:extLst>
        </xdr:cNvPr>
        <xdr:cNvSpPr/>
      </xdr:nvSpPr>
      <xdr:spPr>
        <a:xfrm>
          <a:off x="4127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Monthly Sale</a:t>
          </a:r>
        </a:p>
      </xdr:txBody>
    </xdr:sp>
    <xdr:clientData/>
  </xdr:twoCellAnchor>
  <xdr:twoCellAnchor>
    <xdr:from>
      <xdr:col>7</xdr:col>
      <xdr:colOff>0</xdr:colOff>
      <xdr:row>222</xdr:row>
      <xdr:rowOff>0</xdr:rowOff>
    </xdr:from>
    <xdr:to>
      <xdr:col>8</xdr:col>
      <xdr:colOff>558800</xdr:colOff>
      <xdr:row>225</xdr:row>
      <xdr:rowOff>50800</xdr:rowOff>
    </xdr:to>
    <xdr:sp macro="" textlink="">
      <xdr:nvSpPr>
        <xdr:cNvPr id="107" name="Rectangle 106">
          <a:extLst>
            <a:ext uri="{FF2B5EF4-FFF2-40B4-BE49-F238E27FC236}">
              <a16:creationId xmlns:a16="http://schemas.microsoft.com/office/drawing/2014/main" id="{61016AAD-6C57-0B4C-AD4B-2B7B949B5FA1}"/>
            </a:ext>
          </a:extLst>
        </xdr:cNvPr>
        <xdr:cNvSpPr/>
      </xdr:nvSpPr>
      <xdr:spPr>
        <a:xfrm>
          <a:off x="5778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Year Sale</a:t>
          </a:r>
        </a:p>
      </xdr:txBody>
    </xdr:sp>
    <xdr:clientData/>
  </xdr:twoCellAnchor>
  <xdr:twoCellAnchor>
    <xdr:from>
      <xdr:col>9</xdr:col>
      <xdr:colOff>0</xdr:colOff>
      <xdr:row>222</xdr:row>
      <xdr:rowOff>0</xdr:rowOff>
    </xdr:from>
    <xdr:to>
      <xdr:col>10</xdr:col>
      <xdr:colOff>558800</xdr:colOff>
      <xdr:row>225</xdr:row>
      <xdr:rowOff>50800</xdr:rowOff>
    </xdr:to>
    <xdr:sp macro="" textlink="">
      <xdr:nvSpPr>
        <xdr:cNvPr id="108" name="Rectangle 107">
          <a:extLst>
            <a:ext uri="{FF2B5EF4-FFF2-40B4-BE49-F238E27FC236}">
              <a16:creationId xmlns:a16="http://schemas.microsoft.com/office/drawing/2014/main" id="{E91179D7-4114-F840-B3AD-2614F8A8C895}"/>
            </a:ext>
          </a:extLst>
        </xdr:cNvPr>
        <xdr:cNvSpPr/>
      </xdr:nvSpPr>
      <xdr:spPr>
        <a:xfrm>
          <a:off x="7429500" y="473583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Range Sale</a:t>
          </a:r>
        </a:p>
      </xdr:txBody>
    </xdr:sp>
    <xdr:clientData/>
  </xdr:twoCellAnchor>
  <xdr:twoCellAnchor>
    <xdr:from>
      <xdr:col>0</xdr:col>
      <xdr:colOff>0</xdr:colOff>
      <xdr:row>231</xdr:row>
      <xdr:rowOff>0</xdr:rowOff>
    </xdr:from>
    <xdr:to>
      <xdr:col>2</xdr:col>
      <xdr:colOff>114300</xdr:colOff>
      <xdr:row>234</xdr:row>
      <xdr:rowOff>152400</xdr:rowOff>
    </xdr:to>
    <xdr:sp macro="" textlink="">
      <xdr:nvSpPr>
        <xdr:cNvPr id="109" name="Rectangle 108">
          <a:extLst>
            <a:ext uri="{FF2B5EF4-FFF2-40B4-BE49-F238E27FC236}">
              <a16:creationId xmlns:a16="http://schemas.microsoft.com/office/drawing/2014/main" id="{4E6273E7-D47F-264E-8DD5-3E32EC251C63}"/>
            </a:ext>
          </a:extLst>
        </xdr:cNvPr>
        <xdr:cNvSpPr/>
      </xdr:nvSpPr>
      <xdr:spPr>
        <a:xfrm>
          <a:off x="0" y="50419000"/>
          <a:ext cx="1765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236</xdr:row>
      <xdr:rowOff>0</xdr:rowOff>
    </xdr:from>
    <xdr:to>
      <xdr:col>5</xdr:col>
      <xdr:colOff>635000</xdr:colOff>
      <xdr:row>239</xdr:row>
      <xdr:rowOff>152400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3D1CC48D-DF87-264D-89F1-9894D2E34E9B}"/>
            </a:ext>
          </a:extLst>
        </xdr:cNvPr>
        <xdr:cNvSpPr/>
      </xdr:nvSpPr>
      <xdr:spPr>
        <a:xfrm>
          <a:off x="2476500" y="51435000"/>
          <a:ext cx="22860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CRUD Product</a:t>
          </a:r>
        </a:p>
      </xdr:txBody>
    </xdr:sp>
    <xdr:clientData/>
  </xdr:twoCellAnchor>
  <xdr:twoCellAnchor>
    <xdr:from>
      <xdr:col>3</xdr:col>
      <xdr:colOff>0</xdr:colOff>
      <xdr:row>242</xdr:row>
      <xdr:rowOff>0</xdr:rowOff>
    </xdr:from>
    <xdr:to>
      <xdr:col>4</xdr:col>
      <xdr:colOff>736600</xdr:colOff>
      <xdr:row>245</xdr:row>
      <xdr:rowOff>50800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27750D87-D22E-EA48-AE59-246CC0E89C03}"/>
            </a:ext>
          </a:extLst>
        </xdr:cNvPr>
        <xdr:cNvSpPr/>
      </xdr:nvSpPr>
      <xdr:spPr>
        <a:xfrm>
          <a:off x="2476500" y="52895500"/>
          <a:ext cx="15621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List</a:t>
          </a:r>
        </a:p>
      </xdr:txBody>
    </xdr:sp>
    <xdr:clientData/>
  </xdr:twoCellAnchor>
  <xdr:twoCellAnchor>
    <xdr:from>
      <xdr:col>7</xdr:col>
      <xdr:colOff>342900</xdr:colOff>
      <xdr:row>242</xdr:row>
      <xdr:rowOff>12700</xdr:rowOff>
    </xdr:from>
    <xdr:to>
      <xdr:col>9</xdr:col>
      <xdr:colOff>292100</xdr:colOff>
      <xdr:row>245</xdr:row>
      <xdr:rowOff>63500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B3101A14-5983-644A-805D-23F6640CEC3C}"/>
            </a:ext>
          </a:extLst>
        </xdr:cNvPr>
        <xdr:cNvSpPr/>
      </xdr:nvSpPr>
      <xdr:spPr>
        <a:xfrm>
          <a:off x="6121400" y="52908200"/>
          <a:ext cx="16002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Product</a:t>
          </a:r>
        </a:p>
      </xdr:txBody>
    </xdr:sp>
    <xdr:clientData/>
  </xdr:twoCellAnchor>
  <xdr:twoCellAnchor>
    <xdr:from>
      <xdr:col>9</xdr:col>
      <xdr:colOff>457200</xdr:colOff>
      <xdr:row>242</xdr:row>
      <xdr:rowOff>12700</xdr:rowOff>
    </xdr:from>
    <xdr:to>
      <xdr:col>11</xdr:col>
      <xdr:colOff>723900</xdr:colOff>
      <xdr:row>245</xdr:row>
      <xdr:rowOff>63500</xdr:rowOff>
    </xdr:to>
    <xdr:sp macro="" textlink="">
      <xdr:nvSpPr>
        <xdr:cNvPr id="113" name="Rectangle 112">
          <a:extLst>
            <a:ext uri="{FF2B5EF4-FFF2-40B4-BE49-F238E27FC236}">
              <a16:creationId xmlns:a16="http://schemas.microsoft.com/office/drawing/2014/main" id="{ADF33277-92BA-D741-96F0-8E31BE9C90BB}"/>
            </a:ext>
          </a:extLst>
        </xdr:cNvPr>
        <xdr:cNvSpPr/>
      </xdr:nvSpPr>
      <xdr:spPr>
        <a:xfrm>
          <a:off x="7886700" y="52908200"/>
          <a:ext cx="19177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Edit Product</a:t>
          </a:r>
        </a:p>
      </xdr:txBody>
    </xdr:sp>
    <xdr:clientData/>
  </xdr:twoCellAnchor>
  <xdr:twoCellAnchor>
    <xdr:from>
      <xdr:col>5</xdr:col>
      <xdr:colOff>50800</xdr:colOff>
      <xdr:row>242</xdr:row>
      <xdr:rowOff>0</xdr:rowOff>
    </xdr:from>
    <xdr:to>
      <xdr:col>7</xdr:col>
      <xdr:colOff>114300</xdr:colOff>
      <xdr:row>245</xdr:row>
      <xdr:rowOff>50800</xdr:rowOff>
    </xdr:to>
    <xdr:sp macro="" textlink="">
      <xdr:nvSpPr>
        <xdr:cNvPr id="114" name="Rectangle 113">
          <a:extLst>
            <a:ext uri="{FF2B5EF4-FFF2-40B4-BE49-F238E27FC236}">
              <a16:creationId xmlns:a16="http://schemas.microsoft.com/office/drawing/2014/main" id="{2AD0E5E1-039F-8145-9418-18210FB41FA6}"/>
            </a:ext>
          </a:extLst>
        </xdr:cNvPr>
        <xdr:cNvSpPr/>
      </xdr:nvSpPr>
      <xdr:spPr>
        <a:xfrm>
          <a:off x="4178300" y="52895500"/>
          <a:ext cx="17145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Product Detail</a:t>
          </a:r>
        </a:p>
      </xdr:txBody>
    </xdr:sp>
    <xdr:clientData/>
  </xdr:twoCellAnchor>
  <xdr:twoCellAnchor>
    <xdr:from>
      <xdr:col>16</xdr:col>
      <xdr:colOff>50800</xdr:colOff>
      <xdr:row>21</xdr:row>
      <xdr:rowOff>25400</xdr:rowOff>
    </xdr:from>
    <xdr:to>
      <xdr:col>16</xdr:col>
      <xdr:colOff>228600</xdr:colOff>
      <xdr:row>22</xdr:row>
      <xdr:rowOff>12700</xdr:rowOff>
    </xdr:to>
    <xdr:sp macro="" textlink="">
      <xdr:nvSpPr>
        <xdr:cNvPr id="116" name="7-Point Star 115">
          <a:extLst>
            <a:ext uri="{FF2B5EF4-FFF2-40B4-BE49-F238E27FC236}">
              <a16:creationId xmlns:a16="http://schemas.microsoft.com/office/drawing/2014/main" id="{E473CBF7-F88E-9D4A-8BFB-15D97C5E0D79}"/>
            </a:ext>
          </a:extLst>
        </xdr:cNvPr>
        <xdr:cNvSpPr/>
      </xdr:nvSpPr>
      <xdr:spPr>
        <a:xfrm>
          <a:off x="13792200" y="50546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0</xdr:col>
      <xdr:colOff>0</xdr:colOff>
      <xdr:row>249</xdr:row>
      <xdr:rowOff>0</xdr:rowOff>
    </xdr:from>
    <xdr:to>
      <xdr:col>2</xdr:col>
      <xdr:colOff>152400</xdr:colOff>
      <xdr:row>252</xdr:row>
      <xdr:rowOff>152400</xdr:rowOff>
    </xdr:to>
    <xdr:sp macro="" textlink="">
      <xdr:nvSpPr>
        <xdr:cNvPr id="117" name="Rectangle 116">
          <a:extLst>
            <a:ext uri="{FF2B5EF4-FFF2-40B4-BE49-F238E27FC236}">
              <a16:creationId xmlns:a16="http://schemas.microsoft.com/office/drawing/2014/main" id="{28F91BA2-1D71-9F4C-AB6C-B30B5005661D}"/>
            </a:ext>
          </a:extLst>
        </xdr:cNvPr>
        <xdr:cNvSpPr/>
      </xdr:nvSpPr>
      <xdr:spPr>
        <a:xfrm>
          <a:off x="0" y="54089300"/>
          <a:ext cx="1803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Setting</a:t>
          </a:r>
        </a:p>
      </xdr:txBody>
    </xdr:sp>
    <xdr:clientData/>
  </xdr:twoCellAnchor>
  <xdr:twoCellAnchor>
    <xdr:from>
      <xdr:col>3</xdr:col>
      <xdr:colOff>0</xdr:colOff>
      <xdr:row>255</xdr:row>
      <xdr:rowOff>0</xdr:rowOff>
    </xdr:from>
    <xdr:to>
      <xdr:col>5</xdr:col>
      <xdr:colOff>622300</xdr:colOff>
      <xdr:row>258</xdr:row>
      <xdr:rowOff>152400</xdr:rowOff>
    </xdr:to>
    <xdr:sp macro="" textlink="">
      <xdr:nvSpPr>
        <xdr:cNvPr id="118" name="Rectangle 117">
          <a:extLst>
            <a:ext uri="{FF2B5EF4-FFF2-40B4-BE49-F238E27FC236}">
              <a16:creationId xmlns:a16="http://schemas.microsoft.com/office/drawing/2014/main" id="{2FD71B7D-2D8D-1C45-9A0A-23ECFF6ED77C}"/>
            </a:ext>
          </a:extLst>
        </xdr:cNvPr>
        <xdr:cNvSpPr/>
      </xdr:nvSpPr>
      <xdr:spPr>
        <a:xfrm>
          <a:off x="2476500" y="55308500"/>
          <a:ext cx="22733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Login</a:t>
          </a:r>
          <a:r>
            <a:rPr lang="en-US" sz="2000" b="1" baseline="0"/>
            <a:t> Manage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260</xdr:row>
      <xdr:rowOff>0</xdr:rowOff>
    </xdr:from>
    <xdr:to>
      <xdr:col>4</xdr:col>
      <xdr:colOff>558800</xdr:colOff>
      <xdr:row>263</xdr:row>
      <xdr:rowOff>50800</xdr:rowOff>
    </xdr:to>
    <xdr:sp macro="" textlink="">
      <xdr:nvSpPr>
        <xdr:cNvPr id="119" name="Rectangle 118">
          <a:extLst>
            <a:ext uri="{FF2B5EF4-FFF2-40B4-BE49-F238E27FC236}">
              <a16:creationId xmlns:a16="http://schemas.microsoft.com/office/drawing/2014/main" id="{647F55D5-925F-CE46-85D9-527D90EA973B}"/>
            </a:ext>
          </a:extLst>
        </xdr:cNvPr>
        <xdr:cNvSpPr/>
      </xdr:nvSpPr>
      <xdr:spPr>
        <a:xfrm>
          <a:off x="2476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List</a:t>
          </a:r>
          <a:endParaRPr lang="en-US" sz="2000" b="1"/>
        </a:p>
      </xdr:txBody>
    </xdr:sp>
    <xdr:clientData/>
  </xdr:twoCellAnchor>
  <xdr:twoCellAnchor>
    <xdr:from>
      <xdr:col>4</xdr:col>
      <xdr:colOff>800100</xdr:colOff>
      <xdr:row>260</xdr:row>
      <xdr:rowOff>0</xdr:rowOff>
    </xdr:from>
    <xdr:to>
      <xdr:col>6</xdr:col>
      <xdr:colOff>533400</xdr:colOff>
      <xdr:row>263</xdr:row>
      <xdr:rowOff>50800</xdr:rowOff>
    </xdr:to>
    <xdr:sp macro="" textlink="">
      <xdr:nvSpPr>
        <xdr:cNvPr id="120" name="Rectangle 119">
          <a:extLst>
            <a:ext uri="{FF2B5EF4-FFF2-40B4-BE49-F238E27FC236}">
              <a16:creationId xmlns:a16="http://schemas.microsoft.com/office/drawing/2014/main" id="{488CAF54-2DF0-4347-B770-00D99806ED7A}"/>
            </a:ext>
          </a:extLst>
        </xdr:cNvPr>
        <xdr:cNvSpPr/>
      </xdr:nvSpPr>
      <xdr:spPr>
        <a:xfrm>
          <a:off x="41021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Admin</a:t>
          </a:r>
          <a:r>
            <a:rPr lang="en-US" sz="2000" b="1" baseline="0"/>
            <a:t> Profile</a:t>
          </a:r>
          <a:endParaRPr lang="en-US" sz="2000" b="1"/>
        </a:p>
      </xdr:txBody>
    </xdr:sp>
    <xdr:clientData/>
  </xdr:twoCellAnchor>
  <xdr:twoCellAnchor>
    <xdr:from>
      <xdr:col>7</xdr:col>
      <xdr:colOff>0</xdr:colOff>
      <xdr:row>260</xdr:row>
      <xdr:rowOff>0</xdr:rowOff>
    </xdr:from>
    <xdr:to>
      <xdr:col>8</xdr:col>
      <xdr:colOff>558800</xdr:colOff>
      <xdr:row>263</xdr:row>
      <xdr:rowOff>50800</xdr:rowOff>
    </xdr:to>
    <xdr:sp macro="" textlink="">
      <xdr:nvSpPr>
        <xdr:cNvPr id="121" name="Rectangle 120">
          <a:extLst>
            <a:ext uri="{FF2B5EF4-FFF2-40B4-BE49-F238E27FC236}">
              <a16:creationId xmlns:a16="http://schemas.microsoft.com/office/drawing/2014/main" id="{671B018C-00F2-A34C-A880-8E06F57AD359}"/>
            </a:ext>
          </a:extLst>
        </xdr:cNvPr>
        <xdr:cNvSpPr/>
      </xdr:nvSpPr>
      <xdr:spPr>
        <a:xfrm>
          <a:off x="5778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Add Admin</a:t>
          </a:r>
        </a:p>
      </xdr:txBody>
    </xdr:sp>
    <xdr:clientData/>
  </xdr:twoCellAnchor>
  <xdr:twoCellAnchor>
    <xdr:from>
      <xdr:col>9</xdr:col>
      <xdr:colOff>0</xdr:colOff>
      <xdr:row>260</xdr:row>
      <xdr:rowOff>0</xdr:rowOff>
    </xdr:from>
    <xdr:to>
      <xdr:col>10</xdr:col>
      <xdr:colOff>558800</xdr:colOff>
      <xdr:row>263</xdr:row>
      <xdr:rowOff>50800</xdr:rowOff>
    </xdr:to>
    <xdr:sp macro="" textlink="">
      <xdr:nvSpPr>
        <xdr:cNvPr id="122" name="Rectangle 121">
          <a:extLst>
            <a:ext uri="{FF2B5EF4-FFF2-40B4-BE49-F238E27FC236}">
              <a16:creationId xmlns:a16="http://schemas.microsoft.com/office/drawing/2014/main" id="{B94D692B-469A-3D4F-8A02-C78DA5B10C19}"/>
            </a:ext>
          </a:extLst>
        </xdr:cNvPr>
        <xdr:cNvSpPr/>
      </xdr:nvSpPr>
      <xdr:spPr>
        <a:xfrm>
          <a:off x="7429500" y="563245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Edit Password</a:t>
          </a:r>
          <a:endParaRPr lang="en-US" sz="2000" b="1"/>
        </a:p>
      </xdr:txBody>
    </xdr:sp>
    <xdr:clientData/>
  </xdr:twoCellAnchor>
  <xdr:twoCellAnchor>
    <xdr:from>
      <xdr:col>9</xdr:col>
      <xdr:colOff>457200</xdr:colOff>
      <xdr:row>40</xdr:row>
      <xdr:rowOff>139700</xdr:rowOff>
    </xdr:from>
    <xdr:to>
      <xdr:col>9</xdr:col>
      <xdr:colOff>635000</xdr:colOff>
      <xdr:row>41</xdr:row>
      <xdr:rowOff>127000</xdr:rowOff>
    </xdr:to>
    <xdr:sp macro="" textlink="">
      <xdr:nvSpPr>
        <xdr:cNvPr id="123" name="7-Point Star 122">
          <a:extLst>
            <a:ext uri="{FF2B5EF4-FFF2-40B4-BE49-F238E27FC236}">
              <a16:creationId xmlns:a16="http://schemas.microsoft.com/office/drawing/2014/main" id="{78863279-8B0A-FC43-A44D-6B94A5E71E55}"/>
            </a:ext>
          </a:extLst>
        </xdr:cNvPr>
        <xdr:cNvSpPr/>
      </xdr:nvSpPr>
      <xdr:spPr>
        <a:xfrm>
          <a:off x="7886700" y="9029700"/>
          <a:ext cx="177800" cy="190500"/>
        </a:xfrm>
        <a:prstGeom prst="star7">
          <a:avLst/>
        </a:prstGeom>
      </xdr:spPr>
      <xdr:style>
        <a:lnRef idx="2">
          <a:schemeClr val="accent4">
            <a:shade val="50000"/>
          </a:schemeClr>
        </a:lnRef>
        <a:fillRef idx="1">
          <a:schemeClr val="accent4"/>
        </a:fillRef>
        <a:effectRef idx="0">
          <a:schemeClr val="accent4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3</xdr:col>
      <xdr:colOff>0</xdr:colOff>
      <xdr:row>266</xdr:row>
      <xdr:rowOff>0</xdr:rowOff>
    </xdr:from>
    <xdr:to>
      <xdr:col>6</xdr:col>
      <xdr:colOff>330200</xdr:colOff>
      <xdr:row>269</xdr:row>
      <xdr:rowOff>152400</xdr:rowOff>
    </xdr:to>
    <xdr:sp macro="" textlink="">
      <xdr:nvSpPr>
        <xdr:cNvPr id="124" name="Rectangle 123">
          <a:extLst>
            <a:ext uri="{FF2B5EF4-FFF2-40B4-BE49-F238E27FC236}">
              <a16:creationId xmlns:a16="http://schemas.microsoft.com/office/drawing/2014/main" id="{F9D209CE-008A-F34B-8A54-79C4D76F4BBC}"/>
            </a:ext>
          </a:extLst>
        </xdr:cNvPr>
        <xdr:cNvSpPr/>
      </xdr:nvSpPr>
      <xdr:spPr>
        <a:xfrm>
          <a:off x="2476500" y="575437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Coin</a:t>
          </a:r>
          <a:r>
            <a:rPr lang="en-US" sz="2000" b="1" baseline="0"/>
            <a:t>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271</xdr:row>
      <xdr:rowOff>0</xdr:rowOff>
    </xdr:from>
    <xdr:to>
      <xdr:col>5</xdr:col>
      <xdr:colOff>457200</xdr:colOff>
      <xdr:row>274</xdr:row>
      <xdr:rowOff>152400</xdr:rowOff>
    </xdr:to>
    <xdr:sp macro="" textlink="">
      <xdr:nvSpPr>
        <xdr:cNvPr id="125" name="Rectangle 124">
          <a:extLst>
            <a:ext uri="{FF2B5EF4-FFF2-40B4-BE49-F238E27FC236}">
              <a16:creationId xmlns:a16="http://schemas.microsoft.com/office/drawing/2014/main" id="{BCBA20B9-C545-6444-8D3B-8980E69656B3}"/>
            </a:ext>
          </a:extLst>
        </xdr:cNvPr>
        <xdr:cNvSpPr/>
      </xdr:nvSpPr>
      <xdr:spPr>
        <a:xfrm>
          <a:off x="2476500" y="58801000"/>
          <a:ext cx="21082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Change</a:t>
          </a:r>
          <a:r>
            <a:rPr lang="en-US" sz="2000" b="1" baseline="0"/>
            <a:t> Coin Rate</a:t>
          </a:r>
          <a:endParaRPr lang="en-US" sz="2000" b="1"/>
        </a:p>
      </xdr:txBody>
    </xdr:sp>
    <xdr:clientData/>
  </xdr:twoCellAnchor>
  <xdr:twoCellAnchor>
    <xdr:from>
      <xdr:col>3</xdr:col>
      <xdr:colOff>0</xdr:colOff>
      <xdr:row>277</xdr:row>
      <xdr:rowOff>0</xdr:rowOff>
    </xdr:from>
    <xdr:to>
      <xdr:col>6</xdr:col>
      <xdr:colOff>330200</xdr:colOff>
      <xdr:row>280</xdr:row>
      <xdr:rowOff>152400</xdr:rowOff>
    </xdr:to>
    <xdr:sp macro="" textlink="">
      <xdr:nvSpPr>
        <xdr:cNvPr id="126" name="Rectangle 125">
          <a:extLst>
            <a:ext uri="{FF2B5EF4-FFF2-40B4-BE49-F238E27FC236}">
              <a16:creationId xmlns:a16="http://schemas.microsoft.com/office/drawing/2014/main" id="{DC680D4F-E7F9-AD46-9890-E8F69744FB8A}"/>
            </a:ext>
          </a:extLst>
        </xdr:cNvPr>
        <xdr:cNvSpPr/>
      </xdr:nvSpPr>
      <xdr:spPr>
        <a:xfrm>
          <a:off x="2476500" y="59778900"/>
          <a:ext cx="2806700" cy="762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Manage</a:t>
          </a:r>
        </a:p>
      </xdr:txBody>
    </xdr:sp>
    <xdr:clientData/>
  </xdr:twoCellAnchor>
  <xdr:twoCellAnchor>
    <xdr:from>
      <xdr:col>3</xdr:col>
      <xdr:colOff>0</xdr:colOff>
      <xdr:row>282</xdr:row>
      <xdr:rowOff>0</xdr:rowOff>
    </xdr:from>
    <xdr:to>
      <xdr:col>4</xdr:col>
      <xdr:colOff>558800</xdr:colOff>
      <xdr:row>285</xdr:row>
      <xdr:rowOff>50800</xdr:rowOff>
    </xdr:to>
    <xdr:sp macro="" textlink="">
      <xdr:nvSpPr>
        <xdr:cNvPr id="127" name="Rectangle 126">
          <a:extLst>
            <a:ext uri="{FF2B5EF4-FFF2-40B4-BE49-F238E27FC236}">
              <a16:creationId xmlns:a16="http://schemas.microsoft.com/office/drawing/2014/main" id="{C99BE6A8-E33F-F24E-8301-B9E3BDED092F}"/>
            </a:ext>
          </a:extLst>
        </xdr:cNvPr>
        <xdr:cNvSpPr/>
      </xdr:nvSpPr>
      <xdr:spPr>
        <a:xfrm>
          <a:off x="2476500" y="60794900"/>
          <a:ext cx="13843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News</a:t>
          </a:r>
        </a:p>
      </xdr:txBody>
    </xdr:sp>
    <xdr:clientData/>
  </xdr:twoCellAnchor>
  <xdr:twoCellAnchor>
    <xdr:from>
      <xdr:col>4</xdr:col>
      <xdr:colOff>800100</xdr:colOff>
      <xdr:row>282</xdr:row>
      <xdr:rowOff>0</xdr:rowOff>
    </xdr:from>
    <xdr:to>
      <xdr:col>6</xdr:col>
      <xdr:colOff>800100</xdr:colOff>
      <xdr:row>285</xdr:row>
      <xdr:rowOff>50800</xdr:rowOff>
    </xdr:to>
    <xdr:sp macro="" textlink="">
      <xdr:nvSpPr>
        <xdr:cNvPr id="128" name="Rectangle 127">
          <a:extLst>
            <a:ext uri="{FF2B5EF4-FFF2-40B4-BE49-F238E27FC236}">
              <a16:creationId xmlns:a16="http://schemas.microsoft.com/office/drawing/2014/main" id="{4A22248C-DF54-7240-9910-0A15F6AE1FFE}"/>
            </a:ext>
          </a:extLst>
        </xdr:cNvPr>
        <xdr:cNvSpPr/>
      </xdr:nvSpPr>
      <xdr:spPr>
        <a:xfrm>
          <a:off x="4102100" y="61036200"/>
          <a:ext cx="16510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Site Master</a:t>
          </a:r>
        </a:p>
      </xdr:txBody>
    </xdr:sp>
    <xdr:clientData/>
  </xdr:twoCellAnchor>
  <xdr:twoCellAnchor>
    <xdr:from>
      <xdr:col>7</xdr:col>
      <xdr:colOff>292100</xdr:colOff>
      <xdr:row>282</xdr:row>
      <xdr:rowOff>0</xdr:rowOff>
    </xdr:from>
    <xdr:to>
      <xdr:col>10</xdr:col>
      <xdr:colOff>25400</xdr:colOff>
      <xdr:row>285</xdr:row>
      <xdr:rowOff>50800</xdr:rowOff>
    </xdr:to>
    <xdr:sp macro="" textlink="">
      <xdr:nvSpPr>
        <xdr:cNvPr id="129" name="Rectangle 128">
          <a:extLst>
            <a:ext uri="{FF2B5EF4-FFF2-40B4-BE49-F238E27FC236}">
              <a16:creationId xmlns:a16="http://schemas.microsoft.com/office/drawing/2014/main" id="{FF4647EA-2D9A-5140-8B4C-73A3CDC96470}"/>
            </a:ext>
          </a:extLst>
        </xdr:cNvPr>
        <xdr:cNvSpPr/>
      </xdr:nvSpPr>
      <xdr:spPr>
        <a:xfrm>
          <a:off x="6070600" y="61036200"/>
          <a:ext cx="2209800" cy="6604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/>
            <a:t>App Master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177800</xdr:colOff>
      <xdr:row>16</xdr:row>
      <xdr:rowOff>139700</xdr:rowOff>
    </xdr:from>
    <xdr:to>
      <xdr:col>1</xdr:col>
      <xdr:colOff>800100</xdr:colOff>
      <xdr:row>20</xdr:row>
      <xdr:rowOff>88900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129F7FA3-A333-0A47-98A3-4E471E9F28F4}"/>
            </a:ext>
          </a:extLst>
        </xdr:cNvPr>
        <xdr:cNvSpPr/>
      </xdr:nvSpPr>
      <xdr:spPr>
        <a:xfrm>
          <a:off x="177800" y="40386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2</xdr:col>
      <xdr:colOff>406400</xdr:colOff>
      <xdr:row>16</xdr:row>
      <xdr:rowOff>152400</xdr:rowOff>
    </xdr:from>
    <xdr:to>
      <xdr:col>4</xdr:col>
      <xdr:colOff>203200</xdr:colOff>
      <xdr:row>20</xdr:row>
      <xdr:rowOff>101600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B3C72965-DBB1-0B40-8936-066C57E2F83A}"/>
            </a:ext>
          </a:extLst>
        </xdr:cNvPr>
        <xdr:cNvSpPr/>
      </xdr:nvSpPr>
      <xdr:spPr>
        <a:xfrm>
          <a:off x="20574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4</xdr:col>
      <xdr:colOff>673100</xdr:colOff>
      <xdr:row>16</xdr:row>
      <xdr:rowOff>152400</xdr:rowOff>
    </xdr:from>
    <xdr:to>
      <xdr:col>6</xdr:col>
      <xdr:colOff>469900</xdr:colOff>
      <xdr:row>20</xdr:row>
      <xdr:rowOff>101600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10E76117-8C8E-B948-8946-EA0D40BC99E6}"/>
            </a:ext>
          </a:extLst>
        </xdr:cNvPr>
        <xdr:cNvSpPr/>
      </xdr:nvSpPr>
      <xdr:spPr>
        <a:xfrm>
          <a:off x="3975100" y="4051300"/>
          <a:ext cx="14478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7</xdr:col>
      <xdr:colOff>177800</xdr:colOff>
      <xdr:row>16</xdr:row>
      <xdr:rowOff>152400</xdr:rowOff>
    </xdr:from>
    <xdr:to>
      <xdr:col>9</xdr:col>
      <xdr:colOff>241300</xdr:colOff>
      <xdr:row>20</xdr:row>
      <xdr:rowOff>101600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C720D195-0ED4-5B4F-8D7C-8EB33795E0FA}"/>
            </a:ext>
          </a:extLst>
        </xdr:cNvPr>
        <xdr:cNvSpPr/>
      </xdr:nvSpPr>
      <xdr:spPr>
        <a:xfrm>
          <a:off x="5956300" y="40513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9</xdr:col>
      <xdr:colOff>800100</xdr:colOff>
      <xdr:row>16</xdr:row>
      <xdr:rowOff>165100</xdr:rowOff>
    </xdr:from>
    <xdr:to>
      <xdr:col>12</xdr:col>
      <xdr:colOff>215900</xdr:colOff>
      <xdr:row>20</xdr:row>
      <xdr:rowOff>114300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173FD2D-D6B5-DF48-9595-CC5B33D22BFE}"/>
            </a:ext>
          </a:extLst>
        </xdr:cNvPr>
        <xdr:cNvSpPr/>
      </xdr:nvSpPr>
      <xdr:spPr>
        <a:xfrm>
          <a:off x="8229600" y="4064000"/>
          <a:ext cx="18923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12</xdr:col>
      <xdr:colOff>774700</xdr:colOff>
      <xdr:row>16</xdr:row>
      <xdr:rowOff>165100</xdr:rowOff>
    </xdr:from>
    <xdr:to>
      <xdr:col>15</xdr:col>
      <xdr:colOff>12700</xdr:colOff>
      <xdr:row>20</xdr:row>
      <xdr:rowOff>114300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B43908CD-4DE9-D844-9ED5-219667780C24}"/>
            </a:ext>
          </a:extLst>
        </xdr:cNvPr>
        <xdr:cNvSpPr/>
      </xdr:nvSpPr>
      <xdr:spPr>
        <a:xfrm>
          <a:off x="10680700" y="4064000"/>
          <a:ext cx="17145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15</xdr:col>
      <xdr:colOff>482600</xdr:colOff>
      <xdr:row>16</xdr:row>
      <xdr:rowOff>190500</xdr:rowOff>
    </xdr:from>
    <xdr:to>
      <xdr:col>17</xdr:col>
      <xdr:colOff>616857</xdr:colOff>
      <xdr:row>20</xdr:row>
      <xdr:rowOff>139700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4617A0EE-C7A9-1645-908C-C5ECE6D991B7}"/>
            </a:ext>
          </a:extLst>
        </xdr:cNvPr>
        <xdr:cNvSpPr/>
      </xdr:nvSpPr>
      <xdr:spPr>
        <a:xfrm>
          <a:off x="13001171" y="4073071"/>
          <a:ext cx="1803400" cy="7474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0</xdr:col>
      <xdr:colOff>190500</xdr:colOff>
      <xdr:row>29</xdr:row>
      <xdr:rowOff>38100</xdr:rowOff>
    </xdr:from>
    <xdr:to>
      <xdr:col>1</xdr:col>
      <xdr:colOff>812800</xdr:colOff>
      <xdr:row>33</xdr:row>
      <xdr:rowOff>38100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295B5FA4-103A-444E-8A6D-DD9CC9540CF7}"/>
            </a:ext>
          </a:extLst>
        </xdr:cNvPr>
        <xdr:cNvSpPr/>
      </xdr:nvSpPr>
      <xdr:spPr>
        <a:xfrm>
          <a:off x="1905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35</xdr:row>
      <xdr:rowOff>0</xdr:rowOff>
    </xdr:from>
    <xdr:to>
      <xdr:col>1</xdr:col>
      <xdr:colOff>812800</xdr:colOff>
      <xdr:row>39</xdr:row>
      <xdr:rowOff>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150F1BD-D84D-444E-A2C3-1441262009CD}"/>
            </a:ext>
          </a:extLst>
        </xdr:cNvPr>
        <xdr:cNvSpPr/>
      </xdr:nvSpPr>
      <xdr:spPr>
        <a:xfrm>
          <a:off x="190500" y="7759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0</xdr:col>
      <xdr:colOff>190500</xdr:colOff>
      <xdr:row>40</xdr:row>
      <xdr:rowOff>114300</xdr:rowOff>
    </xdr:from>
    <xdr:to>
      <xdr:col>1</xdr:col>
      <xdr:colOff>812800</xdr:colOff>
      <xdr:row>44</xdr:row>
      <xdr:rowOff>114300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E0D2B42-85D0-7B4C-AC19-42A2DDDFDF3E}"/>
            </a:ext>
          </a:extLst>
        </xdr:cNvPr>
        <xdr:cNvSpPr/>
      </xdr:nvSpPr>
      <xdr:spPr>
        <a:xfrm>
          <a:off x="190500" y="8890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0</xdr:col>
      <xdr:colOff>190500</xdr:colOff>
      <xdr:row>23</xdr:row>
      <xdr:rowOff>88900</xdr:rowOff>
    </xdr:from>
    <xdr:to>
      <xdr:col>1</xdr:col>
      <xdr:colOff>812800</xdr:colOff>
      <xdr:row>27</xdr:row>
      <xdr:rowOff>88900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79684EC6-B616-B147-BF7C-0453BCCCA9B9}"/>
            </a:ext>
          </a:extLst>
        </xdr:cNvPr>
        <xdr:cNvSpPr/>
      </xdr:nvSpPr>
      <xdr:spPr>
        <a:xfrm>
          <a:off x="190500" y="5410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0</xdr:col>
      <xdr:colOff>215900</xdr:colOff>
      <xdr:row>46</xdr:row>
      <xdr:rowOff>0</xdr:rowOff>
    </xdr:from>
    <xdr:to>
      <xdr:col>2</xdr:col>
      <xdr:colOff>12700</xdr:colOff>
      <xdr:row>50</xdr:row>
      <xdr:rowOff>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2A5AC8A1-CCAA-194B-AC78-EDEA4413C06C}"/>
            </a:ext>
          </a:extLst>
        </xdr:cNvPr>
        <xdr:cNvSpPr/>
      </xdr:nvSpPr>
      <xdr:spPr>
        <a:xfrm>
          <a:off x="215900" y="9994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2</xdr:col>
      <xdr:colOff>381000</xdr:colOff>
      <xdr:row>23</xdr:row>
      <xdr:rowOff>114300</xdr:rowOff>
    </xdr:from>
    <xdr:to>
      <xdr:col>4</xdr:col>
      <xdr:colOff>177800</xdr:colOff>
      <xdr:row>27</xdr:row>
      <xdr:rowOff>114300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9D7D703A-A818-0146-AE16-311568B4DD42}"/>
            </a:ext>
          </a:extLst>
        </xdr:cNvPr>
        <xdr:cNvSpPr/>
      </xdr:nvSpPr>
      <xdr:spPr>
        <a:xfrm>
          <a:off x="2032000" y="5435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2</xdr:col>
      <xdr:colOff>381000</xdr:colOff>
      <xdr:row>29</xdr:row>
      <xdr:rowOff>38100</xdr:rowOff>
    </xdr:from>
    <xdr:to>
      <xdr:col>4</xdr:col>
      <xdr:colOff>177800</xdr:colOff>
      <xdr:row>33</xdr:row>
      <xdr:rowOff>38100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E40992F8-ABCB-5341-B5B9-7120A542CAC7}"/>
            </a:ext>
          </a:extLst>
        </xdr:cNvPr>
        <xdr:cNvSpPr/>
      </xdr:nvSpPr>
      <xdr:spPr>
        <a:xfrm>
          <a:off x="2032000" y="6578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4</xdr:col>
      <xdr:colOff>647700</xdr:colOff>
      <xdr:row>23</xdr:row>
      <xdr:rowOff>101600</xdr:rowOff>
    </xdr:from>
    <xdr:to>
      <xdr:col>6</xdr:col>
      <xdr:colOff>444500</xdr:colOff>
      <xdr:row>27</xdr:row>
      <xdr:rowOff>101600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68A88F33-7460-EB46-9916-3082CE733D00}"/>
            </a:ext>
          </a:extLst>
        </xdr:cNvPr>
        <xdr:cNvSpPr/>
      </xdr:nvSpPr>
      <xdr:spPr>
        <a:xfrm>
          <a:off x="3949700" y="5422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4</xdr:col>
      <xdr:colOff>635000</xdr:colOff>
      <xdr:row>29</xdr:row>
      <xdr:rowOff>101600</xdr:rowOff>
    </xdr:from>
    <xdr:to>
      <xdr:col>6</xdr:col>
      <xdr:colOff>431800</xdr:colOff>
      <xdr:row>33</xdr:row>
      <xdr:rowOff>101600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1554FA7D-2AC2-2345-9625-58910C49C82A}"/>
            </a:ext>
          </a:extLst>
        </xdr:cNvPr>
        <xdr:cNvSpPr/>
      </xdr:nvSpPr>
      <xdr:spPr>
        <a:xfrm>
          <a:off x="3937000" y="66421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7</xdr:col>
      <xdr:colOff>304800</xdr:colOff>
      <xdr:row>23</xdr:row>
      <xdr:rowOff>127000</xdr:rowOff>
    </xdr:from>
    <xdr:to>
      <xdr:col>9</xdr:col>
      <xdr:colOff>101600</xdr:colOff>
      <xdr:row>27</xdr:row>
      <xdr:rowOff>127000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845B983D-0043-9646-B81C-40B805162E9C}"/>
            </a:ext>
          </a:extLst>
        </xdr:cNvPr>
        <xdr:cNvSpPr/>
      </xdr:nvSpPr>
      <xdr:spPr>
        <a:xfrm>
          <a:off x="6083300" y="5448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10</xdr:col>
      <xdr:colOff>0</xdr:colOff>
      <xdr:row>23</xdr:row>
      <xdr:rowOff>139700</xdr:rowOff>
    </xdr:from>
    <xdr:to>
      <xdr:col>12</xdr:col>
      <xdr:colOff>155933</xdr:colOff>
      <xdr:row>27</xdr:row>
      <xdr:rowOff>114300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D343869C-5AAB-CB4B-972B-C125EF9DB573}"/>
            </a:ext>
          </a:extLst>
        </xdr:cNvPr>
        <xdr:cNvSpPr/>
      </xdr:nvSpPr>
      <xdr:spPr>
        <a:xfrm>
          <a:off x="8255000" y="5461000"/>
          <a:ext cx="1806933" cy="787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12</xdr:col>
      <xdr:colOff>800100</xdr:colOff>
      <xdr:row>23</xdr:row>
      <xdr:rowOff>139700</xdr:rowOff>
    </xdr:from>
    <xdr:to>
      <xdr:col>14</xdr:col>
      <xdr:colOff>596900</xdr:colOff>
      <xdr:row>27</xdr:row>
      <xdr:rowOff>139700</xdr:rowOff>
    </xdr:to>
    <xdr:sp macro="" textlink="">
      <xdr:nvSpPr>
        <xdr:cNvPr id="22" name="Rectangle 21">
          <a:extLst>
            <a:ext uri="{FF2B5EF4-FFF2-40B4-BE49-F238E27FC236}">
              <a16:creationId xmlns:a16="http://schemas.microsoft.com/office/drawing/2014/main" id="{6BCEC68B-4F33-1D4F-934B-FC4A368D70E2}"/>
            </a:ext>
          </a:extLst>
        </xdr:cNvPr>
        <xdr:cNvSpPr/>
      </xdr:nvSpPr>
      <xdr:spPr>
        <a:xfrm>
          <a:off x="10706100" y="54610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15</xdr:col>
      <xdr:colOff>634999</xdr:colOff>
      <xdr:row>23</xdr:row>
      <xdr:rowOff>152400</xdr:rowOff>
    </xdr:from>
    <xdr:to>
      <xdr:col>17</xdr:col>
      <xdr:colOff>435429</xdr:colOff>
      <xdr:row>27</xdr:row>
      <xdr:rowOff>152400</xdr:rowOff>
    </xdr:to>
    <xdr:sp macro="" textlink="">
      <xdr:nvSpPr>
        <xdr:cNvPr id="23" name="Rectangle 22">
          <a:extLst>
            <a:ext uri="{FF2B5EF4-FFF2-40B4-BE49-F238E27FC236}">
              <a16:creationId xmlns:a16="http://schemas.microsoft.com/office/drawing/2014/main" id="{90E7933B-9318-5D4F-BE75-A8226E981BF2}"/>
            </a:ext>
          </a:extLst>
        </xdr:cNvPr>
        <xdr:cNvSpPr/>
      </xdr:nvSpPr>
      <xdr:spPr>
        <a:xfrm>
          <a:off x="13153570" y="5431971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15</xdr:col>
      <xdr:colOff>622299</xdr:colOff>
      <xdr:row>29</xdr:row>
      <xdr:rowOff>127000</xdr:rowOff>
    </xdr:from>
    <xdr:to>
      <xdr:col>17</xdr:col>
      <xdr:colOff>422729</xdr:colOff>
      <xdr:row>33</xdr:row>
      <xdr:rowOff>127000</xdr:rowOff>
    </xdr:to>
    <xdr:sp macro="" textlink="">
      <xdr:nvSpPr>
        <xdr:cNvPr id="24" name="Rectangle 23">
          <a:extLst>
            <a:ext uri="{FF2B5EF4-FFF2-40B4-BE49-F238E27FC236}">
              <a16:creationId xmlns:a16="http://schemas.microsoft.com/office/drawing/2014/main" id="{4B7C6510-1561-5646-BA62-3B58E7B3B5D4}"/>
            </a:ext>
          </a:extLst>
        </xdr:cNvPr>
        <xdr:cNvSpPr/>
      </xdr:nvSpPr>
      <xdr:spPr>
        <a:xfrm>
          <a:off x="13140870" y="6604000"/>
          <a:ext cx="1469573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15</xdr:col>
      <xdr:colOff>660399</xdr:colOff>
      <xdr:row>40</xdr:row>
      <xdr:rowOff>139700</xdr:rowOff>
    </xdr:from>
    <xdr:to>
      <xdr:col>17</xdr:col>
      <xdr:colOff>460829</xdr:colOff>
      <xdr:row>44</xdr:row>
      <xdr:rowOff>139700</xdr:rowOff>
    </xdr:to>
    <xdr:sp macro="" textlink="">
      <xdr:nvSpPr>
        <xdr:cNvPr id="25" name="Rectangle 24">
          <a:extLst>
            <a:ext uri="{FF2B5EF4-FFF2-40B4-BE49-F238E27FC236}">
              <a16:creationId xmlns:a16="http://schemas.microsoft.com/office/drawing/2014/main" id="{39BAE41A-5AB1-754F-A637-6DF0A529D324}"/>
            </a:ext>
          </a:extLst>
        </xdr:cNvPr>
        <xdr:cNvSpPr/>
      </xdr:nvSpPr>
      <xdr:spPr>
        <a:xfrm>
          <a:off x="13178970" y="8811986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0</xdr:col>
      <xdr:colOff>0</xdr:colOff>
      <xdr:row>52</xdr:row>
      <xdr:rowOff>0</xdr:rowOff>
    </xdr:from>
    <xdr:to>
      <xdr:col>2</xdr:col>
      <xdr:colOff>152400</xdr:colOff>
      <xdr:row>54</xdr:row>
      <xdr:rowOff>127000</xdr:rowOff>
    </xdr:to>
    <xdr:sp macro="" textlink="">
      <xdr:nvSpPr>
        <xdr:cNvPr id="26" name="Rectangle 25">
          <a:extLst>
            <a:ext uri="{FF2B5EF4-FFF2-40B4-BE49-F238E27FC236}">
              <a16:creationId xmlns:a16="http://schemas.microsoft.com/office/drawing/2014/main" id="{3BA0E355-1396-0F48-BF1A-65F20318022E}"/>
            </a:ext>
          </a:extLst>
        </xdr:cNvPr>
        <xdr:cNvSpPr/>
      </xdr:nvSpPr>
      <xdr:spPr>
        <a:xfrm>
          <a:off x="0" y="112268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Home</a:t>
          </a:r>
        </a:p>
      </xdr:txBody>
    </xdr:sp>
    <xdr:clientData/>
  </xdr:twoCellAnchor>
  <xdr:twoCellAnchor>
    <xdr:from>
      <xdr:col>3</xdr:col>
      <xdr:colOff>12700</xdr:colOff>
      <xdr:row>56</xdr:row>
      <xdr:rowOff>0</xdr:rowOff>
    </xdr:from>
    <xdr:to>
      <xdr:col>5</xdr:col>
      <xdr:colOff>698500</xdr:colOff>
      <xdr:row>58</xdr:row>
      <xdr:rowOff>88900</xdr:rowOff>
    </xdr:to>
    <xdr:sp macro="" textlink="">
      <xdr:nvSpPr>
        <xdr:cNvPr id="28" name="Rectangle 27">
          <a:extLst>
            <a:ext uri="{FF2B5EF4-FFF2-40B4-BE49-F238E27FC236}">
              <a16:creationId xmlns:a16="http://schemas.microsoft.com/office/drawing/2014/main" id="{E3458027-40FA-0C45-9B6F-F780315EF0BD}"/>
            </a:ext>
          </a:extLst>
        </xdr:cNvPr>
        <xdr:cNvSpPr/>
      </xdr:nvSpPr>
      <xdr:spPr>
        <a:xfrm>
          <a:off x="2489200" y="12039600"/>
          <a:ext cx="23368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Header</a:t>
          </a:r>
        </a:p>
      </xdr:txBody>
    </xdr:sp>
    <xdr:clientData/>
  </xdr:twoCellAnchor>
  <xdr:twoCellAnchor>
    <xdr:from>
      <xdr:col>3</xdr:col>
      <xdr:colOff>0</xdr:colOff>
      <xdr:row>59</xdr:row>
      <xdr:rowOff>76200</xdr:rowOff>
    </xdr:from>
    <xdr:to>
      <xdr:col>4</xdr:col>
      <xdr:colOff>622300</xdr:colOff>
      <xdr:row>63</xdr:row>
      <xdr:rowOff>25400</xdr:rowOff>
    </xdr:to>
    <xdr:sp macro="" textlink="">
      <xdr:nvSpPr>
        <xdr:cNvPr id="29" name="Rectangle 28">
          <a:extLst>
            <a:ext uri="{FF2B5EF4-FFF2-40B4-BE49-F238E27FC236}">
              <a16:creationId xmlns:a16="http://schemas.microsoft.com/office/drawing/2014/main" id="{FE5D8632-0E9F-214D-BC13-41FFB25DD2C1}"/>
            </a:ext>
          </a:extLst>
        </xdr:cNvPr>
        <xdr:cNvSpPr/>
      </xdr:nvSpPr>
      <xdr:spPr>
        <a:xfrm>
          <a:off x="2476500" y="12725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Menu</a:t>
          </a:r>
        </a:p>
      </xdr:txBody>
    </xdr:sp>
    <xdr:clientData/>
  </xdr:twoCellAnchor>
  <xdr:twoCellAnchor>
    <xdr:from>
      <xdr:col>3</xdr:col>
      <xdr:colOff>0</xdr:colOff>
      <xdr:row>66</xdr:row>
      <xdr:rowOff>165100</xdr:rowOff>
    </xdr:from>
    <xdr:to>
      <xdr:col>5</xdr:col>
      <xdr:colOff>660400</xdr:colOff>
      <xdr:row>69</xdr:row>
      <xdr:rowOff>50800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C3918D77-BE00-7544-A6D4-257841B97F30}"/>
            </a:ext>
          </a:extLst>
        </xdr:cNvPr>
        <xdr:cNvSpPr/>
      </xdr:nvSpPr>
      <xdr:spPr>
        <a:xfrm>
          <a:off x="2476500" y="14236700"/>
          <a:ext cx="23114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Banner</a:t>
          </a:r>
          <a:r>
            <a:rPr lang="en-US" sz="2000" baseline="0"/>
            <a:t> Slider</a:t>
          </a:r>
          <a:endParaRPr lang="en-US" sz="2000"/>
        </a:p>
      </xdr:txBody>
    </xdr:sp>
    <xdr:clientData/>
  </xdr:twoCellAnchor>
  <xdr:twoCellAnchor>
    <xdr:from>
      <xdr:col>3</xdr:col>
      <xdr:colOff>0</xdr:colOff>
      <xdr:row>70</xdr:row>
      <xdr:rowOff>0</xdr:rowOff>
    </xdr:from>
    <xdr:to>
      <xdr:col>4</xdr:col>
      <xdr:colOff>622300</xdr:colOff>
      <xdr:row>73</xdr:row>
      <xdr:rowOff>152400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785A026E-8C7C-CB4A-B131-4BF21D672945}"/>
            </a:ext>
          </a:extLst>
        </xdr:cNvPr>
        <xdr:cNvSpPr/>
      </xdr:nvSpPr>
      <xdr:spPr>
        <a:xfrm>
          <a:off x="2476500" y="14884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Silder</a:t>
          </a:r>
        </a:p>
      </xdr:txBody>
    </xdr:sp>
    <xdr:clientData/>
  </xdr:twoCellAnchor>
  <xdr:twoCellAnchor>
    <xdr:from>
      <xdr:col>3</xdr:col>
      <xdr:colOff>0</xdr:colOff>
      <xdr:row>77</xdr:row>
      <xdr:rowOff>50800</xdr:rowOff>
    </xdr:from>
    <xdr:to>
      <xdr:col>5</xdr:col>
      <xdr:colOff>596900</xdr:colOff>
      <xdr:row>79</xdr:row>
      <xdr:rowOff>139700</xdr:rowOff>
    </xdr:to>
    <xdr:sp macro="" textlink="">
      <xdr:nvSpPr>
        <xdr:cNvPr id="32" name="Rectangle 31">
          <a:extLst>
            <a:ext uri="{FF2B5EF4-FFF2-40B4-BE49-F238E27FC236}">
              <a16:creationId xmlns:a16="http://schemas.microsoft.com/office/drawing/2014/main" id="{00A90C23-B2BF-F34F-863B-143C0F365F87}"/>
            </a:ext>
          </a:extLst>
        </xdr:cNvPr>
        <xdr:cNvSpPr/>
      </xdr:nvSpPr>
      <xdr:spPr>
        <a:xfrm>
          <a:off x="2476500" y="16357600"/>
          <a:ext cx="2247900" cy="495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81</xdr:row>
      <xdr:rowOff>0</xdr:rowOff>
    </xdr:from>
    <xdr:to>
      <xdr:col>4</xdr:col>
      <xdr:colOff>660400</xdr:colOff>
      <xdr:row>85</xdr:row>
      <xdr:rowOff>152400</xdr:rowOff>
    </xdr:to>
    <xdr:sp macro="" textlink="">
      <xdr:nvSpPr>
        <xdr:cNvPr id="33" name="Rectangle 32">
          <a:extLst>
            <a:ext uri="{FF2B5EF4-FFF2-40B4-BE49-F238E27FC236}">
              <a16:creationId xmlns:a16="http://schemas.microsoft.com/office/drawing/2014/main" id="{81F25BDE-85A7-2E4C-B3B8-5085D6C23C30}"/>
            </a:ext>
          </a:extLst>
        </xdr:cNvPr>
        <xdr:cNvSpPr/>
      </xdr:nvSpPr>
      <xdr:spPr>
        <a:xfrm>
          <a:off x="2476500" y="17119600"/>
          <a:ext cx="1485900" cy="9652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Product Top4 List</a:t>
          </a:r>
        </a:p>
      </xdr:txBody>
    </xdr:sp>
    <xdr:clientData/>
  </xdr:twoCellAnchor>
  <xdr:twoCellAnchor>
    <xdr:from>
      <xdr:col>5</xdr:col>
      <xdr:colOff>101600</xdr:colOff>
      <xdr:row>81</xdr:row>
      <xdr:rowOff>0</xdr:rowOff>
    </xdr:from>
    <xdr:to>
      <xdr:col>7</xdr:col>
      <xdr:colOff>393700</xdr:colOff>
      <xdr:row>85</xdr:row>
      <xdr:rowOff>127000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C1D02DBD-1658-614F-9165-CAAB33EC251F}"/>
            </a:ext>
          </a:extLst>
        </xdr:cNvPr>
        <xdr:cNvSpPr/>
      </xdr:nvSpPr>
      <xdr:spPr>
        <a:xfrm>
          <a:off x="4229100" y="17119600"/>
          <a:ext cx="1943100" cy="9398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Product Detail</a:t>
          </a:r>
        </a:p>
      </xdr:txBody>
    </xdr:sp>
    <xdr:clientData/>
  </xdr:twoCellAnchor>
  <xdr:twoCellAnchor>
    <xdr:from>
      <xdr:col>3</xdr:col>
      <xdr:colOff>0</xdr:colOff>
      <xdr:row>88</xdr:row>
      <xdr:rowOff>0</xdr:rowOff>
    </xdr:from>
    <xdr:to>
      <xdr:col>5</xdr:col>
      <xdr:colOff>584200</xdr:colOff>
      <xdr:row>90</xdr:row>
      <xdr:rowOff>139700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9B886B40-D7B0-B044-83CC-96E583F0A8F7}"/>
            </a:ext>
          </a:extLst>
        </xdr:cNvPr>
        <xdr:cNvSpPr/>
      </xdr:nvSpPr>
      <xdr:spPr>
        <a:xfrm>
          <a:off x="2476500" y="18542000"/>
          <a:ext cx="2235200" cy="5461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Delivery Info</a:t>
          </a:r>
        </a:p>
      </xdr:txBody>
    </xdr:sp>
    <xdr:clientData/>
  </xdr:twoCellAnchor>
  <xdr:twoCellAnchor>
    <xdr:from>
      <xdr:col>3</xdr:col>
      <xdr:colOff>0</xdr:colOff>
      <xdr:row>92</xdr:row>
      <xdr:rowOff>0</xdr:rowOff>
    </xdr:from>
    <xdr:to>
      <xdr:col>5</xdr:col>
      <xdr:colOff>304800</xdr:colOff>
      <xdr:row>95</xdr:row>
      <xdr:rowOff>127000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E2BB0CD2-36B4-3444-857F-0E5D74CF39E9}"/>
            </a:ext>
          </a:extLst>
        </xdr:cNvPr>
        <xdr:cNvSpPr/>
      </xdr:nvSpPr>
      <xdr:spPr>
        <a:xfrm>
          <a:off x="2476500" y="19354800"/>
          <a:ext cx="1955800" cy="7366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Township List</a:t>
          </a:r>
        </a:p>
      </xdr:txBody>
    </xdr:sp>
    <xdr:clientData/>
  </xdr:twoCellAnchor>
  <xdr:twoCellAnchor>
    <xdr:from>
      <xdr:col>3</xdr:col>
      <xdr:colOff>0</xdr:colOff>
      <xdr:row>96</xdr:row>
      <xdr:rowOff>115456</xdr:rowOff>
    </xdr:from>
    <xdr:to>
      <xdr:col>5</xdr:col>
      <xdr:colOff>558800</xdr:colOff>
      <xdr:row>99</xdr:row>
      <xdr:rowOff>1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698698EE-70F7-9A45-8286-A82098C27FAC}"/>
            </a:ext>
          </a:extLst>
        </xdr:cNvPr>
        <xdr:cNvSpPr/>
      </xdr:nvSpPr>
      <xdr:spPr>
        <a:xfrm>
          <a:off x="2493818" y="20689456"/>
          <a:ext cx="2221346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Footer</a:t>
          </a:r>
        </a:p>
      </xdr:txBody>
    </xdr:sp>
    <xdr:clientData/>
  </xdr:twoCellAnchor>
  <xdr:twoCellAnchor>
    <xdr:from>
      <xdr:col>0</xdr:col>
      <xdr:colOff>0</xdr:colOff>
      <xdr:row>100</xdr:row>
      <xdr:rowOff>0</xdr:rowOff>
    </xdr:from>
    <xdr:to>
      <xdr:col>2</xdr:col>
      <xdr:colOff>152400</xdr:colOff>
      <xdr:row>102</xdr:row>
      <xdr:rowOff>127000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BF839300-3045-604F-A21F-928DEE7FE293}"/>
            </a:ext>
          </a:extLst>
        </xdr:cNvPr>
        <xdr:cNvSpPr/>
      </xdr:nvSpPr>
      <xdr:spPr>
        <a:xfrm>
          <a:off x="0" y="209931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Product</a:t>
          </a:r>
        </a:p>
      </xdr:txBody>
    </xdr:sp>
    <xdr:clientData/>
  </xdr:twoCellAnchor>
  <xdr:twoCellAnchor>
    <xdr:from>
      <xdr:col>3</xdr:col>
      <xdr:colOff>0</xdr:colOff>
      <xdr:row>105</xdr:row>
      <xdr:rowOff>0</xdr:rowOff>
    </xdr:from>
    <xdr:to>
      <xdr:col>5</xdr:col>
      <xdr:colOff>444500</xdr:colOff>
      <xdr:row>107</xdr:row>
      <xdr:rowOff>101600</xdr:rowOff>
    </xdr:to>
    <xdr:sp macro="" textlink="">
      <xdr:nvSpPr>
        <xdr:cNvPr id="40" name="Rectangle 39">
          <a:extLst>
            <a:ext uri="{FF2B5EF4-FFF2-40B4-BE49-F238E27FC236}">
              <a16:creationId xmlns:a16="http://schemas.microsoft.com/office/drawing/2014/main" id="{E6ACF561-8BF7-0649-BD52-2F93BA727FEE}"/>
            </a:ext>
          </a:extLst>
        </xdr:cNvPr>
        <xdr:cNvSpPr/>
      </xdr:nvSpPr>
      <xdr:spPr>
        <a:xfrm>
          <a:off x="2476500" y="23634700"/>
          <a:ext cx="2095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List</a:t>
          </a:r>
        </a:p>
      </xdr:txBody>
    </xdr:sp>
    <xdr:clientData/>
  </xdr:twoCellAnchor>
  <xdr:twoCellAnchor>
    <xdr:from>
      <xdr:col>3</xdr:col>
      <xdr:colOff>0</xdr:colOff>
      <xdr:row>109</xdr:row>
      <xdr:rowOff>0</xdr:rowOff>
    </xdr:from>
    <xdr:to>
      <xdr:col>5</xdr:col>
      <xdr:colOff>368300</xdr:colOff>
      <xdr:row>112</xdr:row>
      <xdr:rowOff>152400</xdr:rowOff>
    </xdr:to>
    <xdr:sp macro="" textlink="">
      <xdr:nvSpPr>
        <xdr:cNvPr id="41" name="Rectangle 40">
          <a:extLst>
            <a:ext uri="{FF2B5EF4-FFF2-40B4-BE49-F238E27FC236}">
              <a16:creationId xmlns:a16="http://schemas.microsoft.com/office/drawing/2014/main" id="{9544B64B-C428-D640-A042-495E92609407}"/>
            </a:ext>
          </a:extLst>
        </xdr:cNvPr>
        <xdr:cNvSpPr/>
      </xdr:nvSpPr>
      <xdr:spPr>
        <a:xfrm>
          <a:off x="2476500" y="24447500"/>
          <a:ext cx="2019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Category</a:t>
          </a:r>
        </a:p>
      </xdr:txBody>
    </xdr:sp>
    <xdr:clientData/>
  </xdr:twoCellAnchor>
  <xdr:twoCellAnchor>
    <xdr:from>
      <xdr:col>5</xdr:col>
      <xdr:colOff>723900</xdr:colOff>
      <xdr:row>109</xdr:row>
      <xdr:rowOff>0</xdr:rowOff>
    </xdr:from>
    <xdr:to>
      <xdr:col>7</xdr:col>
      <xdr:colOff>520700</xdr:colOff>
      <xdr:row>112</xdr:row>
      <xdr:rowOff>152400</xdr:rowOff>
    </xdr:to>
    <xdr:sp macro="" textlink="">
      <xdr:nvSpPr>
        <xdr:cNvPr id="42" name="Rectangle 41">
          <a:extLst>
            <a:ext uri="{FF2B5EF4-FFF2-40B4-BE49-F238E27FC236}">
              <a16:creationId xmlns:a16="http://schemas.microsoft.com/office/drawing/2014/main" id="{B3756F46-1820-074B-97C3-B9BC0368D5C8}"/>
            </a:ext>
          </a:extLst>
        </xdr:cNvPr>
        <xdr:cNvSpPr/>
      </xdr:nvSpPr>
      <xdr:spPr>
        <a:xfrm>
          <a:off x="4851400" y="24447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List By Type</a:t>
          </a:r>
        </a:p>
      </xdr:txBody>
    </xdr:sp>
    <xdr:clientData/>
  </xdr:twoCellAnchor>
  <xdr:twoCellAnchor>
    <xdr:from>
      <xdr:col>3</xdr:col>
      <xdr:colOff>0</xdr:colOff>
      <xdr:row>115</xdr:row>
      <xdr:rowOff>0</xdr:rowOff>
    </xdr:from>
    <xdr:to>
      <xdr:col>5</xdr:col>
      <xdr:colOff>393700</xdr:colOff>
      <xdr:row>117</xdr:row>
      <xdr:rowOff>101600</xdr:rowOff>
    </xdr:to>
    <xdr:sp macro="" textlink="">
      <xdr:nvSpPr>
        <xdr:cNvPr id="43" name="Rectangle 42">
          <a:extLst>
            <a:ext uri="{FF2B5EF4-FFF2-40B4-BE49-F238E27FC236}">
              <a16:creationId xmlns:a16="http://schemas.microsoft.com/office/drawing/2014/main" id="{DD4129F7-1BA3-6C44-A5B2-381310322BFC}"/>
            </a:ext>
          </a:extLst>
        </xdr:cNvPr>
        <xdr:cNvSpPr/>
      </xdr:nvSpPr>
      <xdr:spPr>
        <a:xfrm>
          <a:off x="2476500" y="25666700"/>
          <a:ext cx="20447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Product Detail</a:t>
          </a:r>
        </a:p>
      </xdr:txBody>
    </xdr:sp>
    <xdr:clientData/>
  </xdr:twoCellAnchor>
  <xdr:twoCellAnchor>
    <xdr:from>
      <xdr:col>3</xdr:col>
      <xdr:colOff>0</xdr:colOff>
      <xdr:row>119</xdr:row>
      <xdr:rowOff>0</xdr:rowOff>
    </xdr:from>
    <xdr:to>
      <xdr:col>4</xdr:col>
      <xdr:colOff>622300</xdr:colOff>
      <xdr:row>122</xdr:row>
      <xdr:rowOff>152400</xdr:rowOff>
    </xdr:to>
    <xdr:sp macro="" textlink="">
      <xdr:nvSpPr>
        <xdr:cNvPr id="44" name="Rectangle 43">
          <a:extLst>
            <a:ext uri="{FF2B5EF4-FFF2-40B4-BE49-F238E27FC236}">
              <a16:creationId xmlns:a16="http://schemas.microsoft.com/office/drawing/2014/main" id="{E1CC10E8-E4B6-D440-9C2B-C8E6C9D01FBA}"/>
            </a:ext>
          </a:extLst>
        </xdr:cNvPr>
        <xdr:cNvSpPr/>
      </xdr:nvSpPr>
      <xdr:spPr>
        <a:xfrm>
          <a:off x="2476500" y="264795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Detail</a:t>
          </a:r>
        </a:p>
      </xdr:txBody>
    </xdr:sp>
    <xdr:clientData/>
  </xdr:twoCellAnchor>
  <xdr:twoCellAnchor>
    <xdr:from>
      <xdr:col>2</xdr:col>
      <xdr:colOff>393700</xdr:colOff>
      <xdr:row>35</xdr:row>
      <xdr:rowOff>38100</xdr:rowOff>
    </xdr:from>
    <xdr:to>
      <xdr:col>4</xdr:col>
      <xdr:colOff>190500</xdr:colOff>
      <xdr:row>39</xdr:row>
      <xdr:rowOff>38100</xdr:rowOff>
    </xdr:to>
    <xdr:sp macro="" textlink="">
      <xdr:nvSpPr>
        <xdr:cNvPr id="45" name="Rectangle 44">
          <a:extLst>
            <a:ext uri="{FF2B5EF4-FFF2-40B4-BE49-F238E27FC236}">
              <a16:creationId xmlns:a16="http://schemas.microsoft.com/office/drawing/2014/main" id="{6F409C4D-F160-C745-BD81-B61BF873A4C5}"/>
            </a:ext>
          </a:extLst>
        </xdr:cNvPr>
        <xdr:cNvSpPr/>
      </xdr:nvSpPr>
      <xdr:spPr>
        <a:xfrm>
          <a:off x="2044700" y="7797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126</xdr:row>
      <xdr:rowOff>0</xdr:rowOff>
    </xdr:from>
    <xdr:to>
      <xdr:col>5</xdr:col>
      <xdr:colOff>330200</xdr:colOff>
      <xdr:row>128</xdr:row>
      <xdr:rowOff>114300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745166B2-3B80-3241-887D-85B4CC7F5414}"/>
            </a:ext>
          </a:extLst>
        </xdr:cNvPr>
        <xdr:cNvSpPr/>
      </xdr:nvSpPr>
      <xdr:spPr>
        <a:xfrm>
          <a:off x="2476500" y="27901900"/>
          <a:ext cx="1981200" cy="520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Buy Product</a:t>
          </a:r>
        </a:p>
      </xdr:txBody>
    </xdr:sp>
    <xdr:clientData/>
  </xdr:twoCellAnchor>
  <xdr:twoCellAnchor>
    <xdr:from>
      <xdr:col>3</xdr:col>
      <xdr:colOff>0</xdr:colOff>
      <xdr:row>130</xdr:row>
      <xdr:rowOff>0</xdr:rowOff>
    </xdr:from>
    <xdr:to>
      <xdr:col>6</xdr:col>
      <xdr:colOff>177800</xdr:colOff>
      <xdr:row>133</xdr:row>
      <xdr:rowOff>152400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8E9F9818-ED35-7841-8885-58B7B149DD9D}"/>
            </a:ext>
          </a:extLst>
        </xdr:cNvPr>
        <xdr:cNvSpPr/>
      </xdr:nvSpPr>
      <xdr:spPr>
        <a:xfrm>
          <a:off x="2476500" y="28714700"/>
          <a:ext cx="26543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CheckOut/Place Order</a:t>
          </a:r>
        </a:p>
      </xdr:txBody>
    </xdr:sp>
    <xdr:clientData/>
  </xdr:twoCellAnchor>
  <xdr:twoCellAnchor>
    <xdr:from>
      <xdr:col>10</xdr:col>
      <xdr:colOff>25400</xdr:colOff>
      <xdr:row>35</xdr:row>
      <xdr:rowOff>190500</xdr:rowOff>
    </xdr:from>
    <xdr:to>
      <xdr:col>12</xdr:col>
      <xdr:colOff>148135</xdr:colOff>
      <xdr:row>39</xdr:row>
      <xdr:rowOff>190500</xdr:rowOff>
    </xdr:to>
    <xdr:sp macro="" textlink="">
      <xdr:nvSpPr>
        <xdr:cNvPr id="48" name="Rectangle 47">
          <a:extLst>
            <a:ext uri="{FF2B5EF4-FFF2-40B4-BE49-F238E27FC236}">
              <a16:creationId xmlns:a16="http://schemas.microsoft.com/office/drawing/2014/main" id="{E8CF1178-5973-D449-87D5-5360ABCE3586}"/>
            </a:ext>
          </a:extLst>
        </xdr:cNvPr>
        <xdr:cNvSpPr/>
      </xdr:nvSpPr>
      <xdr:spPr>
        <a:xfrm>
          <a:off x="8280400" y="79502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5</xdr:col>
      <xdr:colOff>457200</xdr:colOff>
      <xdr:row>133</xdr:row>
      <xdr:rowOff>0</xdr:rowOff>
    </xdr:from>
    <xdr:to>
      <xdr:col>7</xdr:col>
      <xdr:colOff>254000</xdr:colOff>
      <xdr:row>137</xdr:row>
      <xdr:rowOff>0</xdr:rowOff>
    </xdr:to>
    <xdr:sp macro="" textlink="">
      <xdr:nvSpPr>
        <xdr:cNvPr id="49" name="Rectangle 48">
          <a:extLst>
            <a:ext uri="{FF2B5EF4-FFF2-40B4-BE49-F238E27FC236}">
              <a16:creationId xmlns:a16="http://schemas.microsoft.com/office/drawing/2014/main" id="{636E4415-4BE1-9742-941C-44243B41733D}"/>
            </a:ext>
          </a:extLst>
        </xdr:cNvPr>
        <xdr:cNvSpPr/>
      </xdr:nvSpPr>
      <xdr:spPr>
        <a:xfrm>
          <a:off x="4584700" y="293243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Alert</a:t>
          </a:r>
          <a:endParaRPr lang="en-US" sz="2000"/>
        </a:p>
      </xdr:txBody>
    </xdr:sp>
    <xdr:clientData/>
  </xdr:twoCellAnchor>
  <xdr:twoCellAnchor>
    <xdr:from>
      <xdr:col>0</xdr:col>
      <xdr:colOff>0</xdr:colOff>
      <xdr:row>139</xdr:row>
      <xdr:rowOff>0</xdr:rowOff>
    </xdr:from>
    <xdr:to>
      <xdr:col>2</xdr:col>
      <xdr:colOff>152400</xdr:colOff>
      <xdr:row>141</xdr:row>
      <xdr:rowOff>127000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001F02EF-C027-B64E-8EDA-2F58FBC68DF4}"/>
            </a:ext>
          </a:extLst>
        </xdr:cNvPr>
        <xdr:cNvSpPr/>
      </xdr:nvSpPr>
      <xdr:spPr>
        <a:xfrm>
          <a:off x="0" y="30962600"/>
          <a:ext cx="18034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Buy Coin</a:t>
          </a:r>
        </a:p>
      </xdr:txBody>
    </xdr:sp>
    <xdr:clientData/>
  </xdr:twoCellAnchor>
  <xdr:twoCellAnchor>
    <xdr:from>
      <xdr:col>2</xdr:col>
      <xdr:colOff>787400</xdr:colOff>
      <xdr:row>143</xdr:row>
      <xdr:rowOff>76200</xdr:rowOff>
    </xdr:from>
    <xdr:to>
      <xdr:col>5</xdr:col>
      <xdr:colOff>533400</xdr:colOff>
      <xdr:row>145</xdr:row>
      <xdr:rowOff>177800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FB29EBD5-FFED-1F4B-AA19-B8D8BC5FE816}"/>
            </a:ext>
          </a:extLst>
        </xdr:cNvPr>
        <xdr:cNvSpPr/>
      </xdr:nvSpPr>
      <xdr:spPr>
        <a:xfrm>
          <a:off x="2438400" y="31851600"/>
          <a:ext cx="2222500" cy="5080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</a:t>
          </a:r>
          <a:r>
            <a:rPr lang="en-US" sz="2000" baseline="0"/>
            <a:t> Info</a:t>
          </a:r>
          <a:endParaRPr lang="en-US" sz="2000"/>
        </a:p>
      </xdr:txBody>
    </xdr:sp>
    <xdr:clientData/>
  </xdr:twoCellAnchor>
  <xdr:twoCellAnchor>
    <xdr:from>
      <xdr:col>3</xdr:col>
      <xdr:colOff>0</xdr:colOff>
      <xdr:row>148</xdr:row>
      <xdr:rowOff>0</xdr:rowOff>
    </xdr:from>
    <xdr:to>
      <xdr:col>4</xdr:col>
      <xdr:colOff>622300</xdr:colOff>
      <xdr:row>151</xdr:row>
      <xdr:rowOff>152400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44EBBBC1-03E9-4D41-A4B9-C8F98CC647D6}"/>
            </a:ext>
          </a:extLst>
        </xdr:cNvPr>
        <xdr:cNvSpPr/>
      </xdr:nvSpPr>
      <xdr:spPr>
        <a:xfrm>
          <a:off x="2476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Rate</a:t>
          </a:r>
        </a:p>
      </xdr:txBody>
    </xdr:sp>
    <xdr:clientData/>
  </xdr:twoCellAnchor>
  <xdr:twoCellAnchor>
    <xdr:from>
      <xdr:col>5</xdr:col>
      <xdr:colOff>0</xdr:colOff>
      <xdr:row>148</xdr:row>
      <xdr:rowOff>0</xdr:rowOff>
    </xdr:from>
    <xdr:to>
      <xdr:col>6</xdr:col>
      <xdr:colOff>622300</xdr:colOff>
      <xdr:row>151</xdr:row>
      <xdr:rowOff>152400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7955B13C-FB3F-E541-9578-FE8975FB7979}"/>
            </a:ext>
          </a:extLst>
        </xdr:cNvPr>
        <xdr:cNvSpPr/>
      </xdr:nvSpPr>
      <xdr:spPr>
        <a:xfrm>
          <a:off x="4127500" y="327914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Calculator</a:t>
          </a:r>
        </a:p>
      </xdr:txBody>
    </xdr:sp>
    <xdr:clientData/>
  </xdr:twoCellAnchor>
  <xdr:twoCellAnchor>
    <xdr:from>
      <xdr:col>3</xdr:col>
      <xdr:colOff>0</xdr:colOff>
      <xdr:row>154</xdr:row>
      <xdr:rowOff>0</xdr:rowOff>
    </xdr:from>
    <xdr:to>
      <xdr:col>5</xdr:col>
      <xdr:colOff>469900</xdr:colOff>
      <xdr:row>156</xdr:row>
      <xdr:rowOff>50800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C72D2F8F-D814-6F45-B884-6C3DCA5B5645}"/>
            </a:ext>
          </a:extLst>
        </xdr:cNvPr>
        <xdr:cNvSpPr/>
      </xdr:nvSpPr>
      <xdr:spPr>
        <a:xfrm>
          <a:off x="2476500" y="34010600"/>
          <a:ext cx="2120900" cy="4572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Coin Buy</a:t>
          </a:r>
        </a:p>
      </xdr:txBody>
    </xdr:sp>
    <xdr:clientData/>
  </xdr:twoCellAnchor>
  <xdr:twoCellAnchor>
    <xdr:from>
      <xdr:col>2</xdr:col>
      <xdr:colOff>812800</xdr:colOff>
      <xdr:row>158</xdr:row>
      <xdr:rowOff>101600</xdr:rowOff>
    </xdr:from>
    <xdr:to>
      <xdr:col>4</xdr:col>
      <xdr:colOff>609600</xdr:colOff>
      <xdr:row>162</xdr:row>
      <xdr:rowOff>50800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EAEBB4DF-877C-DC42-BA48-BC618527CC00}"/>
            </a:ext>
          </a:extLst>
        </xdr:cNvPr>
        <xdr:cNvSpPr/>
      </xdr:nvSpPr>
      <xdr:spPr>
        <a:xfrm>
          <a:off x="2463800" y="349250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Coin Charge</a:t>
          </a:r>
        </a:p>
      </xdr:txBody>
    </xdr:sp>
    <xdr:clientData/>
  </xdr:twoCellAnchor>
  <xdr:twoCellAnchor>
    <xdr:from>
      <xdr:col>10</xdr:col>
      <xdr:colOff>25400</xdr:colOff>
      <xdr:row>29</xdr:row>
      <xdr:rowOff>114300</xdr:rowOff>
    </xdr:from>
    <xdr:to>
      <xdr:col>12</xdr:col>
      <xdr:colOff>148135</xdr:colOff>
      <xdr:row>33</xdr:row>
      <xdr:rowOff>114300</xdr:rowOff>
    </xdr:to>
    <xdr:sp macro="" textlink="">
      <xdr:nvSpPr>
        <xdr:cNvPr id="56" name="Rectangle 55">
          <a:extLst>
            <a:ext uri="{FF2B5EF4-FFF2-40B4-BE49-F238E27FC236}">
              <a16:creationId xmlns:a16="http://schemas.microsoft.com/office/drawing/2014/main" id="{A4C0A916-ABCD-094F-959B-08777156D8D0}"/>
            </a:ext>
          </a:extLst>
        </xdr:cNvPr>
        <xdr:cNvSpPr/>
      </xdr:nvSpPr>
      <xdr:spPr>
        <a:xfrm>
          <a:off x="8280400" y="6654800"/>
          <a:ext cx="1773735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4</xdr:col>
      <xdr:colOff>317500</xdr:colOff>
      <xdr:row>161</xdr:row>
      <xdr:rowOff>88900</xdr:rowOff>
    </xdr:from>
    <xdr:to>
      <xdr:col>6</xdr:col>
      <xdr:colOff>114300</xdr:colOff>
      <xdr:row>165</xdr:row>
      <xdr:rowOff>88900</xdr:rowOff>
    </xdr:to>
    <xdr:sp macro="" textlink="">
      <xdr:nvSpPr>
        <xdr:cNvPr id="57" name="Rectangle 56">
          <a:extLst>
            <a:ext uri="{FF2B5EF4-FFF2-40B4-BE49-F238E27FC236}">
              <a16:creationId xmlns:a16="http://schemas.microsoft.com/office/drawing/2014/main" id="{2664A64C-921F-0E4E-94F4-3E01059E5992}"/>
            </a:ext>
          </a:extLst>
        </xdr:cNvPr>
        <xdr:cNvSpPr/>
      </xdr:nvSpPr>
      <xdr:spPr>
        <a:xfrm>
          <a:off x="3619500" y="355219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0</xdr:col>
      <xdr:colOff>0</xdr:colOff>
      <xdr:row>168</xdr:row>
      <xdr:rowOff>0</xdr:rowOff>
    </xdr:from>
    <xdr:to>
      <xdr:col>2</xdr:col>
      <xdr:colOff>457200</xdr:colOff>
      <xdr:row>170</xdr:row>
      <xdr:rowOff>25400</xdr:rowOff>
    </xdr:to>
    <xdr:sp macro="" textlink="">
      <xdr:nvSpPr>
        <xdr:cNvPr id="58" name="Rectangle 57">
          <a:extLst>
            <a:ext uri="{FF2B5EF4-FFF2-40B4-BE49-F238E27FC236}">
              <a16:creationId xmlns:a16="http://schemas.microsoft.com/office/drawing/2014/main" id="{589DB3EC-7C84-774C-BA0B-2E9FE89A4A76}"/>
            </a:ext>
          </a:extLst>
        </xdr:cNvPr>
        <xdr:cNvSpPr/>
      </xdr:nvSpPr>
      <xdr:spPr>
        <a:xfrm>
          <a:off x="0" y="37477700"/>
          <a:ext cx="2108200" cy="4318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3</xdr:col>
      <xdr:colOff>0</xdr:colOff>
      <xdr:row>172</xdr:row>
      <xdr:rowOff>0</xdr:rowOff>
    </xdr:from>
    <xdr:to>
      <xdr:col>5</xdr:col>
      <xdr:colOff>330200</xdr:colOff>
      <xdr:row>174</xdr:row>
      <xdr:rowOff>76200</xdr:rowOff>
    </xdr:to>
    <xdr:sp macro="" textlink="">
      <xdr:nvSpPr>
        <xdr:cNvPr id="59" name="Rectangle 58">
          <a:extLst>
            <a:ext uri="{FF2B5EF4-FFF2-40B4-BE49-F238E27FC236}">
              <a16:creationId xmlns:a16="http://schemas.microsoft.com/office/drawing/2014/main" id="{5D5FC638-5DA8-854E-9E00-A92B64790C41}"/>
            </a:ext>
          </a:extLst>
        </xdr:cNvPr>
        <xdr:cNvSpPr/>
      </xdr:nvSpPr>
      <xdr:spPr>
        <a:xfrm>
          <a:off x="2476500" y="38493700"/>
          <a:ext cx="1981200" cy="4826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Login/Sign Up</a:t>
          </a:r>
        </a:p>
      </xdr:txBody>
    </xdr:sp>
    <xdr:clientData/>
  </xdr:twoCellAnchor>
  <xdr:twoCellAnchor>
    <xdr:from>
      <xdr:col>3</xdr:col>
      <xdr:colOff>0</xdr:colOff>
      <xdr:row>177</xdr:row>
      <xdr:rowOff>0</xdr:rowOff>
    </xdr:from>
    <xdr:to>
      <xdr:col>4</xdr:col>
      <xdr:colOff>622300</xdr:colOff>
      <xdr:row>180</xdr:row>
      <xdr:rowOff>152400</xdr:rowOff>
    </xdr:to>
    <xdr:sp macro="" textlink="">
      <xdr:nvSpPr>
        <xdr:cNvPr id="60" name="Rectangle 59">
          <a:extLst>
            <a:ext uri="{FF2B5EF4-FFF2-40B4-BE49-F238E27FC236}">
              <a16:creationId xmlns:a16="http://schemas.microsoft.com/office/drawing/2014/main" id="{746DF34D-1E8E-1341-A4E7-0F715FEA0B01}"/>
            </a:ext>
          </a:extLst>
        </xdr:cNvPr>
        <xdr:cNvSpPr/>
      </xdr:nvSpPr>
      <xdr:spPr>
        <a:xfrm>
          <a:off x="2476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Login</a:t>
          </a:r>
        </a:p>
      </xdr:txBody>
    </xdr:sp>
    <xdr:clientData/>
  </xdr:twoCellAnchor>
  <xdr:twoCellAnchor>
    <xdr:from>
      <xdr:col>5</xdr:col>
      <xdr:colOff>0</xdr:colOff>
      <xdr:row>177</xdr:row>
      <xdr:rowOff>0</xdr:rowOff>
    </xdr:from>
    <xdr:to>
      <xdr:col>6</xdr:col>
      <xdr:colOff>622300</xdr:colOff>
      <xdr:row>180</xdr:row>
      <xdr:rowOff>152400</xdr:rowOff>
    </xdr:to>
    <xdr:sp macro="" textlink="">
      <xdr:nvSpPr>
        <xdr:cNvPr id="61" name="Rectangle 60">
          <a:extLst>
            <a:ext uri="{FF2B5EF4-FFF2-40B4-BE49-F238E27FC236}">
              <a16:creationId xmlns:a16="http://schemas.microsoft.com/office/drawing/2014/main" id="{7CB6F046-45E2-3048-8253-110CA69057A7}"/>
            </a:ext>
          </a:extLst>
        </xdr:cNvPr>
        <xdr:cNvSpPr/>
      </xdr:nvSpPr>
      <xdr:spPr>
        <a:xfrm>
          <a:off x="4127500" y="395097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Sign Up</a:t>
          </a:r>
        </a:p>
      </xdr:txBody>
    </xdr:sp>
    <xdr:clientData/>
  </xdr:twoCellAnchor>
  <xdr:twoCellAnchor>
    <xdr:from>
      <xdr:col>0</xdr:col>
      <xdr:colOff>0</xdr:colOff>
      <xdr:row>184</xdr:row>
      <xdr:rowOff>0</xdr:rowOff>
    </xdr:from>
    <xdr:to>
      <xdr:col>2</xdr:col>
      <xdr:colOff>469900</xdr:colOff>
      <xdr:row>186</xdr:row>
      <xdr:rowOff>127000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3823E7F8-990B-8E47-A483-45827F543A75}"/>
            </a:ext>
          </a:extLst>
        </xdr:cNvPr>
        <xdr:cNvSpPr/>
      </xdr:nvSpPr>
      <xdr:spPr>
        <a:xfrm>
          <a:off x="0" y="40944800"/>
          <a:ext cx="21209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Inform</a:t>
          </a:r>
        </a:p>
      </xdr:txBody>
    </xdr:sp>
    <xdr:clientData/>
  </xdr:twoCellAnchor>
  <xdr:twoCellAnchor>
    <xdr:from>
      <xdr:col>3</xdr:col>
      <xdr:colOff>0</xdr:colOff>
      <xdr:row>189</xdr:row>
      <xdr:rowOff>0</xdr:rowOff>
    </xdr:from>
    <xdr:to>
      <xdr:col>5</xdr:col>
      <xdr:colOff>317500</xdr:colOff>
      <xdr:row>190</xdr:row>
      <xdr:rowOff>190500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85DEB5CF-A3DF-604E-9E2F-AE86918F9A7D}"/>
            </a:ext>
          </a:extLst>
        </xdr:cNvPr>
        <xdr:cNvSpPr/>
      </xdr:nvSpPr>
      <xdr:spPr>
        <a:xfrm>
          <a:off x="2476500" y="41960800"/>
          <a:ext cx="1968500" cy="3937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New</a:t>
          </a:r>
          <a:r>
            <a:rPr lang="en-US" sz="2000" baseline="0"/>
            <a:t>s</a:t>
          </a:r>
          <a:endParaRPr lang="en-US" sz="2000"/>
        </a:p>
      </xdr:txBody>
    </xdr:sp>
    <xdr:clientData/>
  </xdr:twoCellAnchor>
  <xdr:twoCellAnchor>
    <xdr:from>
      <xdr:col>3</xdr:col>
      <xdr:colOff>127000</xdr:colOff>
      <xdr:row>209</xdr:row>
      <xdr:rowOff>50800</xdr:rowOff>
    </xdr:from>
    <xdr:to>
      <xdr:col>5</xdr:col>
      <xdr:colOff>330620</xdr:colOff>
      <xdr:row>211</xdr:row>
      <xdr:rowOff>50800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CE0C9359-3701-CA45-B727-2CFB42EBDF92}"/>
            </a:ext>
          </a:extLst>
        </xdr:cNvPr>
        <xdr:cNvSpPr/>
      </xdr:nvSpPr>
      <xdr:spPr>
        <a:xfrm>
          <a:off x="2603500" y="470916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Order</a:t>
          </a:r>
          <a:r>
            <a:rPr lang="en-US" sz="2000" baseline="0"/>
            <a:t> Track</a:t>
          </a:r>
          <a:endParaRPr lang="en-US" sz="2000"/>
        </a:p>
      </xdr:txBody>
    </xdr:sp>
    <xdr:clientData/>
  </xdr:twoCellAnchor>
  <xdr:twoCellAnchor>
    <xdr:from>
      <xdr:col>3</xdr:col>
      <xdr:colOff>63500</xdr:colOff>
      <xdr:row>199</xdr:row>
      <xdr:rowOff>63500</xdr:rowOff>
    </xdr:from>
    <xdr:to>
      <xdr:col>5</xdr:col>
      <xdr:colOff>267120</xdr:colOff>
      <xdr:row>201</xdr:row>
      <xdr:rowOff>63500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E5627291-93A6-354D-B12E-0B7618146962}"/>
            </a:ext>
          </a:extLst>
        </xdr:cNvPr>
        <xdr:cNvSpPr/>
      </xdr:nvSpPr>
      <xdr:spPr>
        <a:xfrm>
          <a:off x="2540000" y="44462700"/>
          <a:ext cx="1854620" cy="4064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Message</a:t>
          </a:r>
        </a:p>
      </xdr:txBody>
    </xdr:sp>
    <xdr:clientData/>
  </xdr:twoCellAnchor>
  <xdr:twoCellAnchor>
    <xdr:from>
      <xdr:col>3</xdr:col>
      <xdr:colOff>0</xdr:colOff>
      <xdr:row>193</xdr:row>
      <xdr:rowOff>0</xdr:rowOff>
    </xdr:from>
    <xdr:to>
      <xdr:col>4</xdr:col>
      <xdr:colOff>622300</xdr:colOff>
      <xdr:row>196</xdr:row>
      <xdr:rowOff>152400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B9DAE985-58C8-014D-8573-E63561B53953}"/>
            </a:ext>
          </a:extLst>
        </xdr:cNvPr>
        <xdr:cNvSpPr/>
      </xdr:nvSpPr>
      <xdr:spPr>
        <a:xfrm>
          <a:off x="2476500" y="42773600"/>
          <a:ext cx="14478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List</a:t>
          </a:r>
        </a:p>
      </xdr:txBody>
    </xdr:sp>
    <xdr:clientData/>
  </xdr:twoCellAnchor>
  <xdr:twoCellAnchor>
    <xdr:from>
      <xdr:col>5</xdr:col>
      <xdr:colOff>165100</xdr:colOff>
      <xdr:row>193</xdr:row>
      <xdr:rowOff>0</xdr:rowOff>
    </xdr:from>
    <xdr:to>
      <xdr:col>7</xdr:col>
      <xdr:colOff>228600</xdr:colOff>
      <xdr:row>196</xdr:row>
      <xdr:rowOff>114300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F77F6069-2FC9-594C-B126-4F718A6E4DFD}"/>
            </a:ext>
          </a:extLst>
        </xdr:cNvPr>
        <xdr:cNvSpPr/>
      </xdr:nvSpPr>
      <xdr:spPr>
        <a:xfrm>
          <a:off x="4292600" y="42773600"/>
          <a:ext cx="1714500" cy="7239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News Detail</a:t>
          </a:r>
        </a:p>
      </xdr:txBody>
    </xdr:sp>
    <xdr:clientData/>
  </xdr:twoCellAnchor>
  <xdr:twoCellAnchor>
    <xdr:from>
      <xdr:col>3</xdr:col>
      <xdr:colOff>50800</xdr:colOff>
      <xdr:row>202</xdr:row>
      <xdr:rowOff>190500</xdr:rowOff>
    </xdr:from>
    <xdr:to>
      <xdr:col>5</xdr:col>
      <xdr:colOff>177800</xdr:colOff>
      <xdr:row>206</xdr:row>
      <xdr:rowOff>50800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F99547E3-B812-B340-B718-A12422832907}"/>
            </a:ext>
          </a:extLst>
        </xdr:cNvPr>
        <xdr:cNvSpPr/>
      </xdr:nvSpPr>
      <xdr:spPr>
        <a:xfrm>
          <a:off x="2527300" y="451993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List</a:t>
          </a:r>
        </a:p>
      </xdr:txBody>
    </xdr:sp>
    <xdr:clientData/>
  </xdr:twoCellAnchor>
  <xdr:twoCellAnchor>
    <xdr:from>
      <xdr:col>5</xdr:col>
      <xdr:colOff>571500</xdr:colOff>
      <xdr:row>203</xdr:row>
      <xdr:rowOff>0</xdr:rowOff>
    </xdr:from>
    <xdr:to>
      <xdr:col>8</xdr:col>
      <xdr:colOff>12700</xdr:colOff>
      <xdr:row>206</xdr:row>
      <xdr:rowOff>63500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AC1EBF6F-D893-7E47-BB1D-ED5BC78C48A7}"/>
            </a:ext>
          </a:extLst>
        </xdr:cNvPr>
        <xdr:cNvSpPr/>
      </xdr:nvSpPr>
      <xdr:spPr>
        <a:xfrm>
          <a:off x="4699000" y="452120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Message Detail</a:t>
          </a:r>
        </a:p>
      </xdr:txBody>
    </xdr:sp>
    <xdr:clientData/>
  </xdr:twoCellAnchor>
  <xdr:twoCellAnchor>
    <xdr:from>
      <xdr:col>3</xdr:col>
      <xdr:colOff>139700</xdr:colOff>
      <xdr:row>213</xdr:row>
      <xdr:rowOff>0</xdr:rowOff>
    </xdr:from>
    <xdr:to>
      <xdr:col>5</xdr:col>
      <xdr:colOff>266700</xdr:colOff>
      <xdr:row>216</xdr:row>
      <xdr:rowOff>63500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1A6F84A-6CB9-364E-8286-5C56B67EA9CE}"/>
            </a:ext>
          </a:extLst>
        </xdr:cNvPr>
        <xdr:cNvSpPr/>
      </xdr:nvSpPr>
      <xdr:spPr>
        <a:xfrm>
          <a:off x="2616200" y="47040800"/>
          <a:ext cx="1778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List</a:t>
          </a:r>
        </a:p>
      </xdr:txBody>
    </xdr:sp>
    <xdr:clientData/>
  </xdr:twoCellAnchor>
  <xdr:twoCellAnchor>
    <xdr:from>
      <xdr:col>5</xdr:col>
      <xdr:colOff>660400</xdr:colOff>
      <xdr:row>213</xdr:row>
      <xdr:rowOff>12700</xdr:rowOff>
    </xdr:from>
    <xdr:to>
      <xdr:col>8</xdr:col>
      <xdr:colOff>101600</xdr:colOff>
      <xdr:row>216</xdr:row>
      <xdr:rowOff>76200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B18C92DE-D9EE-F74B-BF85-F73C03E6CBDA}"/>
            </a:ext>
          </a:extLst>
        </xdr:cNvPr>
        <xdr:cNvSpPr/>
      </xdr:nvSpPr>
      <xdr:spPr>
        <a:xfrm>
          <a:off x="4787900" y="47053500"/>
          <a:ext cx="19177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Order Detail</a:t>
          </a:r>
        </a:p>
      </xdr:txBody>
    </xdr:sp>
    <xdr:clientData/>
  </xdr:twoCellAnchor>
  <xdr:twoCellAnchor>
    <xdr:from>
      <xdr:col>8</xdr:col>
      <xdr:colOff>622300</xdr:colOff>
      <xdr:row>213</xdr:row>
      <xdr:rowOff>0</xdr:rowOff>
    </xdr:from>
    <xdr:to>
      <xdr:col>11</xdr:col>
      <xdr:colOff>76200</xdr:colOff>
      <xdr:row>216</xdr:row>
      <xdr:rowOff>63500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2B28B8F5-2D03-F54F-9C08-C4F56CCF1422}"/>
            </a:ext>
          </a:extLst>
        </xdr:cNvPr>
        <xdr:cNvSpPr/>
      </xdr:nvSpPr>
      <xdr:spPr>
        <a:xfrm>
          <a:off x="7226300" y="47040800"/>
          <a:ext cx="19304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Tracking Status</a:t>
          </a:r>
        </a:p>
      </xdr:txBody>
    </xdr:sp>
    <xdr:clientData/>
  </xdr:twoCellAnchor>
  <xdr:twoCellAnchor>
    <xdr:from>
      <xdr:col>0</xdr:col>
      <xdr:colOff>0</xdr:colOff>
      <xdr:row>219</xdr:row>
      <xdr:rowOff>0</xdr:rowOff>
    </xdr:from>
    <xdr:to>
      <xdr:col>2</xdr:col>
      <xdr:colOff>596900</xdr:colOff>
      <xdr:row>221</xdr:row>
      <xdr:rowOff>76200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02FBC879-ED19-6B4B-ACF0-5812D157286C}"/>
            </a:ext>
          </a:extLst>
        </xdr:cNvPr>
        <xdr:cNvSpPr/>
      </xdr:nvSpPr>
      <xdr:spPr>
        <a:xfrm>
          <a:off x="0" y="48475900"/>
          <a:ext cx="2247900" cy="4826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Profile</a:t>
          </a:r>
        </a:p>
      </xdr:txBody>
    </xdr:sp>
    <xdr:clientData/>
  </xdr:twoCellAnchor>
  <xdr:twoCellAnchor>
    <xdr:from>
      <xdr:col>3</xdr:col>
      <xdr:colOff>0</xdr:colOff>
      <xdr:row>223</xdr:row>
      <xdr:rowOff>0</xdr:rowOff>
    </xdr:from>
    <xdr:to>
      <xdr:col>5</xdr:col>
      <xdr:colOff>482600</xdr:colOff>
      <xdr:row>226</xdr:row>
      <xdr:rowOff>12700</xdr:rowOff>
    </xdr:to>
    <xdr:sp macro="" textlink="">
      <xdr:nvSpPr>
        <xdr:cNvPr id="74" name="Rectangle 73">
          <a:extLst>
            <a:ext uri="{FF2B5EF4-FFF2-40B4-BE49-F238E27FC236}">
              <a16:creationId xmlns:a16="http://schemas.microsoft.com/office/drawing/2014/main" id="{C5632DF6-D827-6A4A-8B3D-E72E88453A35}"/>
            </a:ext>
          </a:extLst>
        </xdr:cNvPr>
        <xdr:cNvSpPr/>
      </xdr:nvSpPr>
      <xdr:spPr>
        <a:xfrm>
          <a:off x="2476500" y="49288700"/>
          <a:ext cx="2133600" cy="6223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Setting Profile</a:t>
          </a:r>
        </a:p>
      </xdr:txBody>
    </xdr:sp>
    <xdr:clientData/>
  </xdr:twoCellAnchor>
  <xdr:twoCellAnchor>
    <xdr:from>
      <xdr:col>3</xdr:col>
      <xdr:colOff>0</xdr:colOff>
      <xdr:row>228</xdr:row>
      <xdr:rowOff>0</xdr:rowOff>
    </xdr:from>
    <xdr:to>
      <xdr:col>5</xdr:col>
      <xdr:colOff>381000</xdr:colOff>
      <xdr:row>231</xdr:row>
      <xdr:rowOff>63500</xdr:rowOff>
    </xdr:to>
    <xdr:sp macro="" textlink="">
      <xdr:nvSpPr>
        <xdr:cNvPr id="75" name="Rectangle 74">
          <a:extLst>
            <a:ext uri="{FF2B5EF4-FFF2-40B4-BE49-F238E27FC236}">
              <a16:creationId xmlns:a16="http://schemas.microsoft.com/office/drawing/2014/main" id="{13473C6D-43A0-1849-8B2B-8927AD939DF4}"/>
            </a:ext>
          </a:extLst>
        </xdr:cNvPr>
        <xdr:cNvSpPr/>
      </xdr:nvSpPr>
      <xdr:spPr>
        <a:xfrm>
          <a:off x="2476500" y="503047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Manage Profile</a:t>
          </a:r>
        </a:p>
      </xdr:txBody>
    </xdr:sp>
    <xdr:clientData/>
  </xdr:twoCellAnchor>
  <xdr:twoCellAnchor>
    <xdr:from>
      <xdr:col>6</xdr:col>
      <xdr:colOff>0</xdr:colOff>
      <xdr:row>228</xdr:row>
      <xdr:rowOff>0</xdr:rowOff>
    </xdr:from>
    <xdr:to>
      <xdr:col>8</xdr:col>
      <xdr:colOff>469900</xdr:colOff>
      <xdr:row>231</xdr:row>
      <xdr:rowOff>63500</xdr:rowOff>
    </xdr:to>
    <xdr:sp macro="" textlink="">
      <xdr:nvSpPr>
        <xdr:cNvPr id="76" name="Rectangle 75">
          <a:extLst>
            <a:ext uri="{FF2B5EF4-FFF2-40B4-BE49-F238E27FC236}">
              <a16:creationId xmlns:a16="http://schemas.microsoft.com/office/drawing/2014/main" id="{FAD6C0AE-D4BE-1F45-AEF1-A34EEEA7DD56}"/>
            </a:ext>
          </a:extLst>
        </xdr:cNvPr>
        <xdr:cNvSpPr/>
      </xdr:nvSpPr>
      <xdr:spPr>
        <a:xfrm>
          <a:off x="4953000" y="50304700"/>
          <a:ext cx="21209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Update Password</a:t>
          </a:r>
        </a:p>
      </xdr:txBody>
    </xdr:sp>
    <xdr:clientData/>
  </xdr:twoCellAnchor>
  <xdr:twoCellAnchor>
    <xdr:from>
      <xdr:col>18</xdr:col>
      <xdr:colOff>56245</xdr:colOff>
      <xdr:row>16</xdr:row>
      <xdr:rowOff>190500</xdr:rowOff>
    </xdr:from>
    <xdr:to>
      <xdr:col>19</xdr:col>
      <xdr:colOff>446316</xdr:colOff>
      <xdr:row>20</xdr:row>
      <xdr:rowOff>190500</xdr:rowOff>
    </xdr:to>
    <xdr:sp macro="" textlink="">
      <xdr:nvSpPr>
        <xdr:cNvPr id="77" name="Rectangle 76">
          <a:extLst>
            <a:ext uri="{FF2B5EF4-FFF2-40B4-BE49-F238E27FC236}">
              <a16:creationId xmlns:a16="http://schemas.microsoft.com/office/drawing/2014/main" id="{E01EB962-0271-FB44-8AA0-ADB29B508D93}"/>
            </a:ext>
          </a:extLst>
        </xdr:cNvPr>
        <xdr:cNvSpPr/>
      </xdr:nvSpPr>
      <xdr:spPr>
        <a:xfrm>
          <a:off x="15368816" y="4073071"/>
          <a:ext cx="1442357" cy="798286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18</xdr:col>
      <xdr:colOff>43545</xdr:colOff>
      <xdr:row>23</xdr:row>
      <xdr:rowOff>165100</xdr:rowOff>
    </xdr:from>
    <xdr:to>
      <xdr:col>19</xdr:col>
      <xdr:colOff>433616</xdr:colOff>
      <xdr:row>27</xdr:row>
      <xdr:rowOff>165100</xdr:rowOff>
    </xdr:to>
    <xdr:sp macro="" textlink="">
      <xdr:nvSpPr>
        <xdr:cNvPr id="78" name="Rectangle 77">
          <a:extLst>
            <a:ext uri="{FF2B5EF4-FFF2-40B4-BE49-F238E27FC236}">
              <a16:creationId xmlns:a16="http://schemas.microsoft.com/office/drawing/2014/main" id="{B592D199-C36F-7649-9BFC-D225CAF32D43}"/>
            </a:ext>
          </a:extLst>
        </xdr:cNvPr>
        <xdr:cNvSpPr/>
      </xdr:nvSpPr>
      <xdr:spPr>
        <a:xfrm>
          <a:off x="15356116" y="5444671"/>
          <a:ext cx="1442357" cy="798286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8</xdr:col>
      <xdr:colOff>38100</xdr:colOff>
      <xdr:row>109</xdr:row>
      <xdr:rowOff>0</xdr:rowOff>
    </xdr:from>
    <xdr:to>
      <xdr:col>11</xdr:col>
      <xdr:colOff>12700</xdr:colOff>
      <xdr:row>112</xdr:row>
      <xdr:rowOff>152400</xdr:rowOff>
    </xdr:to>
    <xdr:sp macro="" textlink="">
      <xdr:nvSpPr>
        <xdr:cNvPr id="79" name="Rectangle 78">
          <a:extLst>
            <a:ext uri="{FF2B5EF4-FFF2-40B4-BE49-F238E27FC236}">
              <a16:creationId xmlns:a16="http://schemas.microsoft.com/office/drawing/2014/main" id="{37BBD105-A7FE-D341-B317-EC34CADB027E}"/>
            </a:ext>
          </a:extLst>
        </xdr:cNvPr>
        <xdr:cNvSpPr/>
      </xdr:nvSpPr>
      <xdr:spPr>
        <a:xfrm>
          <a:off x="6642100" y="24447500"/>
          <a:ext cx="24511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Recommand For You</a:t>
          </a:r>
        </a:p>
      </xdr:txBody>
    </xdr:sp>
    <xdr:clientData/>
  </xdr:twoCellAnchor>
  <xdr:twoCellAnchor>
    <xdr:from>
      <xdr:col>0</xdr:col>
      <xdr:colOff>12700</xdr:colOff>
      <xdr:row>247</xdr:row>
      <xdr:rowOff>0</xdr:rowOff>
    </xdr:from>
    <xdr:to>
      <xdr:col>2</xdr:col>
      <xdr:colOff>444500</xdr:colOff>
      <xdr:row>249</xdr:row>
      <xdr:rowOff>88900</xdr:rowOff>
    </xdr:to>
    <xdr:sp macro="" textlink="">
      <xdr:nvSpPr>
        <xdr:cNvPr id="80" name="Rectangle 79">
          <a:extLst>
            <a:ext uri="{FF2B5EF4-FFF2-40B4-BE49-F238E27FC236}">
              <a16:creationId xmlns:a16="http://schemas.microsoft.com/office/drawing/2014/main" id="{464AB8FB-1177-4846-8E5C-AF69930F94F5}"/>
            </a:ext>
          </a:extLst>
        </xdr:cNvPr>
        <xdr:cNvSpPr/>
      </xdr:nvSpPr>
      <xdr:spPr>
        <a:xfrm>
          <a:off x="12700" y="51320700"/>
          <a:ext cx="2082800" cy="508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  <xdr:twoCellAnchor>
    <xdr:from>
      <xdr:col>3</xdr:col>
      <xdr:colOff>50800</xdr:colOff>
      <xdr:row>251</xdr:row>
      <xdr:rowOff>0</xdr:rowOff>
    </xdr:from>
    <xdr:to>
      <xdr:col>4</xdr:col>
      <xdr:colOff>673100</xdr:colOff>
      <xdr:row>255</xdr:row>
      <xdr:rowOff>0</xdr:rowOff>
    </xdr:to>
    <xdr:sp macro="" textlink="">
      <xdr:nvSpPr>
        <xdr:cNvPr id="81" name="Rectangle 80">
          <a:extLst>
            <a:ext uri="{FF2B5EF4-FFF2-40B4-BE49-F238E27FC236}">
              <a16:creationId xmlns:a16="http://schemas.microsoft.com/office/drawing/2014/main" id="{F2385E26-7332-CF4D-82FF-D41DF2A068DD}"/>
            </a:ext>
          </a:extLst>
        </xdr:cNvPr>
        <xdr:cNvSpPr/>
      </xdr:nvSpPr>
      <xdr:spPr>
        <a:xfrm>
          <a:off x="2527300" y="521462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Contact</a:t>
          </a:r>
        </a:p>
      </xdr:txBody>
    </xdr:sp>
    <xdr:clientData/>
  </xdr:twoCellAnchor>
  <xdr:twoCellAnchor>
    <xdr:from>
      <xdr:col>3</xdr:col>
      <xdr:colOff>50800</xdr:colOff>
      <xdr:row>263</xdr:row>
      <xdr:rowOff>38100</xdr:rowOff>
    </xdr:from>
    <xdr:to>
      <xdr:col>4</xdr:col>
      <xdr:colOff>673100</xdr:colOff>
      <xdr:row>267</xdr:row>
      <xdr:rowOff>38100</xdr:rowOff>
    </xdr:to>
    <xdr:sp macro="" textlink="">
      <xdr:nvSpPr>
        <xdr:cNvPr id="82" name="Rectangle 81">
          <a:extLst>
            <a:ext uri="{FF2B5EF4-FFF2-40B4-BE49-F238E27FC236}">
              <a16:creationId xmlns:a16="http://schemas.microsoft.com/office/drawing/2014/main" id="{DDFC67CC-9920-D14B-A0D7-FBFAEFF9F57E}"/>
            </a:ext>
          </a:extLst>
        </xdr:cNvPr>
        <xdr:cNvSpPr/>
      </xdr:nvSpPr>
      <xdr:spPr>
        <a:xfrm>
          <a:off x="2527300" y="546227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Suggest</a:t>
          </a:r>
        </a:p>
      </xdr:txBody>
    </xdr:sp>
    <xdr:clientData/>
  </xdr:twoCellAnchor>
  <xdr:twoCellAnchor>
    <xdr:from>
      <xdr:col>3</xdr:col>
      <xdr:colOff>38100</xdr:colOff>
      <xdr:row>274</xdr:row>
      <xdr:rowOff>177800</xdr:rowOff>
    </xdr:from>
    <xdr:to>
      <xdr:col>4</xdr:col>
      <xdr:colOff>660400</xdr:colOff>
      <xdr:row>278</xdr:row>
      <xdr:rowOff>177800</xdr:rowOff>
    </xdr:to>
    <xdr:sp macro="" textlink="">
      <xdr:nvSpPr>
        <xdr:cNvPr id="83" name="Rectangle 82">
          <a:extLst>
            <a:ext uri="{FF2B5EF4-FFF2-40B4-BE49-F238E27FC236}">
              <a16:creationId xmlns:a16="http://schemas.microsoft.com/office/drawing/2014/main" id="{E2A37BA5-6FE7-F746-B613-1D0C09DC618E}"/>
            </a:ext>
          </a:extLst>
        </xdr:cNvPr>
        <xdr:cNvSpPr/>
      </xdr:nvSpPr>
      <xdr:spPr>
        <a:xfrm>
          <a:off x="2514600" y="572008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76200</xdr:colOff>
      <xdr:row>256</xdr:row>
      <xdr:rowOff>165100</xdr:rowOff>
    </xdr:from>
    <xdr:to>
      <xdr:col>5</xdr:col>
      <xdr:colOff>457200</xdr:colOff>
      <xdr:row>260</xdr:row>
      <xdr:rowOff>25400</xdr:rowOff>
    </xdr:to>
    <xdr:sp macro="" textlink="">
      <xdr:nvSpPr>
        <xdr:cNvPr id="84" name="Rectangle 83">
          <a:extLst>
            <a:ext uri="{FF2B5EF4-FFF2-40B4-BE49-F238E27FC236}">
              <a16:creationId xmlns:a16="http://schemas.microsoft.com/office/drawing/2014/main" id="{8C192CA8-5823-0F46-8CA3-14920DE76045}"/>
            </a:ext>
          </a:extLst>
        </xdr:cNvPr>
        <xdr:cNvSpPr/>
      </xdr:nvSpPr>
      <xdr:spPr>
        <a:xfrm>
          <a:off x="2552700" y="53327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Contact Form</a:t>
          </a:r>
        </a:p>
      </xdr:txBody>
    </xdr:sp>
    <xdr:clientData/>
  </xdr:twoCellAnchor>
  <xdr:twoCellAnchor>
    <xdr:from>
      <xdr:col>3</xdr:col>
      <xdr:colOff>0</xdr:colOff>
      <xdr:row>268</xdr:row>
      <xdr:rowOff>0</xdr:rowOff>
    </xdr:from>
    <xdr:to>
      <xdr:col>5</xdr:col>
      <xdr:colOff>381000</xdr:colOff>
      <xdr:row>271</xdr:row>
      <xdr:rowOff>63500</xdr:rowOff>
    </xdr:to>
    <xdr:sp macro="" textlink="">
      <xdr:nvSpPr>
        <xdr:cNvPr id="85" name="Rectangle 84">
          <a:extLst>
            <a:ext uri="{FF2B5EF4-FFF2-40B4-BE49-F238E27FC236}">
              <a16:creationId xmlns:a16="http://schemas.microsoft.com/office/drawing/2014/main" id="{5B5FDBF4-CC75-D244-AE79-A31E27FC88AC}"/>
            </a:ext>
          </a:extLst>
        </xdr:cNvPr>
        <xdr:cNvSpPr/>
      </xdr:nvSpPr>
      <xdr:spPr>
        <a:xfrm>
          <a:off x="2476500" y="5560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Suggest Form</a:t>
          </a:r>
        </a:p>
      </xdr:txBody>
    </xdr:sp>
    <xdr:clientData/>
  </xdr:twoCellAnchor>
  <xdr:twoCellAnchor>
    <xdr:from>
      <xdr:col>15</xdr:col>
      <xdr:colOff>660399</xdr:colOff>
      <xdr:row>35</xdr:row>
      <xdr:rowOff>25400</xdr:rowOff>
    </xdr:from>
    <xdr:to>
      <xdr:col>17</xdr:col>
      <xdr:colOff>460829</xdr:colOff>
      <xdr:row>39</xdr:row>
      <xdr:rowOff>25400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532FDCE4-DD33-0A45-953C-782DBF0F6D5D}"/>
            </a:ext>
          </a:extLst>
        </xdr:cNvPr>
        <xdr:cNvSpPr/>
      </xdr:nvSpPr>
      <xdr:spPr>
        <a:xfrm>
          <a:off x="13178970" y="7699829"/>
          <a:ext cx="1469573" cy="798285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Report</a:t>
          </a:r>
        </a:p>
      </xdr:txBody>
    </xdr:sp>
    <xdr:clientData/>
  </xdr:twoCellAnchor>
  <xdr:twoCellAnchor>
    <xdr:from>
      <xdr:col>3</xdr:col>
      <xdr:colOff>0</xdr:colOff>
      <xdr:row>287</xdr:row>
      <xdr:rowOff>0</xdr:rowOff>
    </xdr:from>
    <xdr:to>
      <xdr:col>4</xdr:col>
      <xdr:colOff>622300</xdr:colOff>
      <xdr:row>291</xdr:row>
      <xdr:rowOff>0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3CC8C2B3-48ED-E14E-9714-1BD886F5E043}"/>
            </a:ext>
          </a:extLst>
        </xdr:cNvPr>
        <xdr:cNvSpPr/>
      </xdr:nvSpPr>
      <xdr:spPr>
        <a:xfrm>
          <a:off x="2476500" y="59664600"/>
          <a:ext cx="1447800" cy="8128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Site Map</a:t>
          </a:r>
        </a:p>
      </xdr:txBody>
    </xdr:sp>
    <xdr:clientData/>
  </xdr:twoCellAnchor>
  <xdr:twoCellAnchor>
    <xdr:from>
      <xdr:col>3</xdr:col>
      <xdr:colOff>0</xdr:colOff>
      <xdr:row>280</xdr:row>
      <xdr:rowOff>0</xdr:rowOff>
    </xdr:from>
    <xdr:to>
      <xdr:col>5</xdr:col>
      <xdr:colOff>381000</xdr:colOff>
      <xdr:row>283</xdr:row>
      <xdr:rowOff>63500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FE0FE68A-1980-A345-90AB-05A06C1DB74C}"/>
            </a:ext>
          </a:extLst>
        </xdr:cNvPr>
        <xdr:cNvSpPr/>
      </xdr:nvSpPr>
      <xdr:spPr>
        <a:xfrm>
          <a:off x="2476500" y="582422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Report Form</a:t>
          </a:r>
        </a:p>
      </xdr:txBody>
    </xdr:sp>
    <xdr:clientData/>
  </xdr:twoCellAnchor>
  <xdr:twoCellAnchor>
    <xdr:from>
      <xdr:col>3</xdr:col>
      <xdr:colOff>0</xdr:colOff>
      <xdr:row>292</xdr:row>
      <xdr:rowOff>0</xdr:rowOff>
    </xdr:from>
    <xdr:to>
      <xdr:col>5</xdr:col>
      <xdr:colOff>381000</xdr:colOff>
      <xdr:row>295</xdr:row>
      <xdr:rowOff>63500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F30F2F65-4310-E54D-8790-A2269A7520B2}"/>
            </a:ext>
          </a:extLst>
        </xdr:cNvPr>
        <xdr:cNvSpPr/>
      </xdr:nvSpPr>
      <xdr:spPr>
        <a:xfrm>
          <a:off x="2476500" y="606806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Site Link</a:t>
          </a:r>
        </a:p>
      </xdr:txBody>
    </xdr:sp>
    <xdr:clientData/>
  </xdr:twoCellAnchor>
  <xdr:twoCellAnchor>
    <xdr:from>
      <xdr:col>0</xdr:col>
      <xdr:colOff>12700</xdr:colOff>
      <xdr:row>232</xdr:row>
      <xdr:rowOff>0</xdr:rowOff>
    </xdr:from>
    <xdr:to>
      <xdr:col>2</xdr:col>
      <xdr:colOff>469900</xdr:colOff>
      <xdr:row>234</xdr:row>
      <xdr:rowOff>63500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9EFCE231-B2C5-BC4E-ABA8-957AC7D6B53B}"/>
            </a:ext>
          </a:extLst>
        </xdr:cNvPr>
        <xdr:cNvSpPr/>
      </xdr:nvSpPr>
      <xdr:spPr>
        <a:xfrm>
          <a:off x="12700" y="61912500"/>
          <a:ext cx="2108200" cy="4699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Privacy Policy</a:t>
          </a:r>
        </a:p>
      </xdr:txBody>
    </xdr:sp>
    <xdr:clientData/>
  </xdr:twoCellAnchor>
  <xdr:twoCellAnchor>
    <xdr:from>
      <xdr:col>2</xdr:col>
      <xdr:colOff>673100</xdr:colOff>
      <xdr:row>237</xdr:row>
      <xdr:rowOff>25400</xdr:rowOff>
    </xdr:from>
    <xdr:to>
      <xdr:col>5</xdr:col>
      <xdr:colOff>304800</xdr:colOff>
      <xdr:row>239</xdr:row>
      <xdr:rowOff>88900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D157E628-3EC7-B84E-9833-A7B709D25375}"/>
            </a:ext>
          </a:extLst>
        </xdr:cNvPr>
        <xdr:cNvSpPr/>
      </xdr:nvSpPr>
      <xdr:spPr>
        <a:xfrm>
          <a:off x="2324100" y="62953900"/>
          <a:ext cx="2108200" cy="469900"/>
        </a:xfrm>
        <a:prstGeom prst="rect">
          <a:avLst/>
        </a:prstGeom>
        <a:solidFill>
          <a:srgbClr val="0070C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/>
            <a:t>Privacy Policy</a:t>
          </a:r>
        </a:p>
      </xdr:txBody>
    </xdr:sp>
    <xdr:clientData/>
  </xdr:twoCellAnchor>
  <xdr:twoCellAnchor>
    <xdr:from>
      <xdr:col>2</xdr:col>
      <xdr:colOff>711200</xdr:colOff>
      <xdr:row>241</xdr:row>
      <xdr:rowOff>127000</xdr:rowOff>
    </xdr:from>
    <xdr:to>
      <xdr:col>5</xdr:col>
      <xdr:colOff>266700</xdr:colOff>
      <xdr:row>244</xdr:row>
      <xdr:rowOff>190500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77492DEE-B308-2640-BC2B-E83B1E59F2EC}"/>
            </a:ext>
          </a:extLst>
        </xdr:cNvPr>
        <xdr:cNvSpPr/>
      </xdr:nvSpPr>
      <xdr:spPr>
        <a:xfrm>
          <a:off x="2362200" y="63868300"/>
          <a:ext cx="2032000" cy="673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000" b="1" baseline="0"/>
            <a:t>Policy Info</a:t>
          </a:r>
        </a:p>
      </xdr:txBody>
    </xdr:sp>
    <xdr:clientData/>
  </xdr:twoCellAnchor>
  <xdr:twoCellAnchor>
    <xdr:from>
      <xdr:col>6</xdr:col>
      <xdr:colOff>266700</xdr:colOff>
      <xdr:row>95</xdr:row>
      <xdr:rowOff>88900</xdr:rowOff>
    </xdr:from>
    <xdr:to>
      <xdr:col>8</xdr:col>
      <xdr:colOff>400957</xdr:colOff>
      <xdr:row>99</xdr:row>
      <xdr:rowOff>38100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DD90F0DA-CBC5-C54F-AE91-55E67293D562}"/>
            </a:ext>
          </a:extLst>
        </xdr:cNvPr>
        <xdr:cNvSpPr/>
      </xdr:nvSpPr>
      <xdr:spPr>
        <a:xfrm>
          <a:off x="5219700" y="20053300"/>
          <a:ext cx="1785257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Site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228600</xdr:colOff>
      <xdr:row>17</xdr:row>
      <xdr:rowOff>0</xdr:rowOff>
    </xdr:from>
    <xdr:to>
      <xdr:col>9</xdr:col>
      <xdr:colOff>63500</xdr:colOff>
      <xdr:row>20</xdr:row>
      <xdr:rowOff>152400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9B57F481-4D6C-004C-89C8-8CC4C67B42BC}"/>
            </a:ext>
          </a:extLst>
        </xdr:cNvPr>
        <xdr:cNvSpPr/>
      </xdr:nvSpPr>
      <xdr:spPr>
        <a:xfrm>
          <a:off x="51816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6</xdr:col>
      <xdr:colOff>368300</xdr:colOff>
      <xdr:row>24</xdr:row>
      <xdr:rowOff>190500</xdr:rowOff>
    </xdr:from>
    <xdr:to>
      <xdr:col>8</xdr:col>
      <xdr:colOff>736600</xdr:colOff>
      <xdr:row>28</xdr:row>
      <xdr:rowOff>50800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F1051DEC-0773-3A42-8322-BB2E24EBB5D9}"/>
            </a:ext>
          </a:extLst>
        </xdr:cNvPr>
        <xdr:cNvSpPr/>
      </xdr:nvSpPr>
      <xdr:spPr>
        <a:xfrm>
          <a:off x="5321300" y="57150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12</xdr:col>
      <xdr:colOff>0</xdr:colOff>
      <xdr:row>17</xdr:row>
      <xdr:rowOff>0</xdr:rowOff>
    </xdr:from>
    <xdr:to>
      <xdr:col>14</xdr:col>
      <xdr:colOff>660400</xdr:colOff>
      <xdr:row>20</xdr:row>
      <xdr:rowOff>152400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84875164-8857-B948-90F7-43C703D0A68F}"/>
            </a:ext>
          </a:extLst>
        </xdr:cNvPr>
        <xdr:cNvSpPr/>
      </xdr:nvSpPr>
      <xdr:spPr>
        <a:xfrm>
          <a:off x="9906000" y="4102100"/>
          <a:ext cx="2311400" cy="7620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12</xdr:col>
      <xdr:colOff>203200</xdr:colOff>
      <xdr:row>24</xdr:row>
      <xdr:rowOff>139700</xdr:rowOff>
    </xdr:from>
    <xdr:to>
      <xdr:col>14</xdr:col>
      <xdr:colOff>571500</xdr:colOff>
      <xdr:row>28</xdr:row>
      <xdr:rowOff>0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EDD98238-B013-B948-BC9E-5E26CE345E11}"/>
            </a:ext>
          </a:extLst>
        </xdr:cNvPr>
        <xdr:cNvSpPr/>
      </xdr:nvSpPr>
      <xdr:spPr>
        <a:xfrm>
          <a:off x="10109200" y="56642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0</xdr:col>
      <xdr:colOff>0</xdr:colOff>
      <xdr:row>36</xdr:row>
      <xdr:rowOff>0</xdr:rowOff>
    </xdr:from>
    <xdr:to>
      <xdr:col>3</xdr:col>
      <xdr:colOff>38100</xdr:colOff>
      <xdr:row>38</xdr:row>
      <xdr:rowOff>127000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7828173B-8EE8-924F-948E-43F77A1ADDC5}"/>
            </a:ext>
          </a:extLst>
        </xdr:cNvPr>
        <xdr:cNvSpPr/>
      </xdr:nvSpPr>
      <xdr:spPr>
        <a:xfrm>
          <a:off x="0" y="79629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</a:p>
      </xdr:txBody>
    </xdr:sp>
    <xdr:clientData/>
  </xdr:twoCellAnchor>
  <xdr:twoCellAnchor>
    <xdr:from>
      <xdr:col>4</xdr:col>
      <xdr:colOff>0</xdr:colOff>
      <xdr:row>40</xdr:row>
      <xdr:rowOff>0</xdr:rowOff>
    </xdr:from>
    <xdr:to>
      <xdr:col>6</xdr:col>
      <xdr:colOff>368300</xdr:colOff>
      <xdr:row>43</xdr:row>
      <xdr:rowOff>63500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D792F023-86FE-2648-A8A5-DAAADD7094EB}"/>
            </a:ext>
          </a:extLst>
        </xdr:cNvPr>
        <xdr:cNvSpPr/>
      </xdr:nvSpPr>
      <xdr:spPr>
        <a:xfrm>
          <a:off x="3302000" y="87884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 Manage</a:t>
          </a:r>
        </a:p>
      </xdr:txBody>
    </xdr:sp>
    <xdr:clientData/>
  </xdr:twoCellAnchor>
  <xdr:twoCellAnchor>
    <xdr:from>
      <xdr:col>4</xdr:col>
      <xdr:colOff>0</xdr:colOff>
      <xdr:row>46</xdr:row>
      <xdr:rowOff>0</xdr:rowOff>
    </xdr:from>
    <xdr:to>
      <xdr:col>7</xdr:col>
      <xdr:colOff>0</xdr:colOff>
      <xdr:row>49</xdr:row>
      <xdr:rowOff>190500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20662787-A6D2-5D48-8119-84298100D4E2}"/>
            </a:ext>
          </a:extLst>
        </xdr:cNvPr>
        <xdr:cNvSpPr/>
      </xdr:nvSpPr>
      <xdr:spPr>
        <a:xfrm>
          <a:off x="3302000" y="100076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Request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51</xdr:row>
      <xdr:rowOff>63500</xdr:rowOff>
    </xdr:from>
    <xdr:to>
      <xdr:col>7</xdr:col>
      <xdr:colOff>0</xdr:colOff>
      <xdr:row>55</xdr:row>
      <xdr:rowOff>50800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5F083791-D8FE-1B48-B9D3-E98387B5706C}"/>
            </a:ext>
          </a:extLst>
        </xdr:cNvPr>
        <xdr:cNvSpPr/>
      </xdr:nvSpPr>
      <xdr:spPr>
        <a:xfrm>
          <a:off x="3302000" y="110871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Waiting List</a:t>
          </a:r>
          <a:endParaRPr lang="en-US" sz="2200"/>
        </a:p>
      </xdr:txBody>
    </xdr:sp>
    <xdr:clientData/>
  </xdr:twoCellAnchor>
  <xdr:twoCellAnchor>
    <xdr:from>
      <xdr:col>4</xdr:col>
      <xdr:colOff>0</xdr:colOff>
      <xdr:row>57</xdr:row>
      <xdr:rowOff>0</xdr:rowOff>
    </xdr:from>
    <xdr:to>
      <xdr:col>7</xdr:col>
      <xdr:colOff>0</xdr:colOff>
      <xdr:row>60</xdr:row>
      <xdr:rowOff>190500</xdr:rowOff>
    </xdr:to>
    <xdr:sp macro="" textlink="">
      <xdr:nvSpPr>
        <xdr:cNvPr id="17" name="Rectangle 16">
          <a:extLst>
            <a:ext uri="{FF2B5EF4-FFF2-40B4-BE49-F238E27FC236}">
              <a16:creationId xmlns:a16="http://schemas.microsoft.com/office/drawing/2014/main" id="{B22462CD-376B-8149-B5C9-F31DE291F8B9}"/>
            </a:ext>
          </a:extLst>
        </xdr:cNvPr>
        <xdr:cNvSpPr/>
      </xdr:nvSpPr>
      <xdr:spPr>
        <a:xfrm>
          <a:off x="3302000" y="12242800"/>
          <a:ext cx="2476500" cy="8001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History</a:t>
          </a:r>
          <a:endParaRPr lang="en-US" sz="2200"/>
        </a:p>
      </xdr:txBody>
    </xdr:sp>
    <xdr:clientData/>
  </xdr:twoCellAnchor>
  <xdr:twoCellAnchor>
    <xdr:from>
      <xdr:col>8</xdr:col>
      <xdr:colOff>0</xdr:colOff>
      <xdr:row>46</xdr:row>
      <xdr:rowOff>0</xdr:rowOff>
    </xdr:from>
    <xdr:to>
      <xdr:col>11</xdr:col>
      <xdr:colOff>12700</xdr:colOff>
      <xdr:row>50</xdr:row>
      <xdr:rowOff>63500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D287D53F-B32C-E348-AC60-9DCB64B5416E}"/>
            </a:ext>
          </a:extLst>
        </xdr:cNvPr>
        <xdr:cNvSpPr/>
      </xdr:nvSpPr>
      <xdr:spPr>
        <a:xfrm>
          <a:off x="6604000" y="10007600"/>
          <a:ext cx="2489200" cy="8763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Order</a:t>
          </a:r>
          <a:r>
            <a:rPr lang="en-US" sz="2200" baseline="0"/>
            <a:t> Status Change</a:t>
          </a:r>
          <a:endParaRPr lang="en-US" sz="2200"/>
        </a:p>
      </xdr:txBody>
    </xdr:sp>
    <xdr:clientData/>
  </xdr:twoCellAnchor>
  <xdr:twoCellAnchor>
    <xdr:from>
      <xdr:col>0</xdr:col>
      <xdr:colOff>0</xdr:colOff>
      <xdr:row>66</xdr:row>
      <xdr:rowOff>0</xdr:rowOff>
    </xdr:from>
    <xdr:to>
      <xdr:col>3</xdr:col>
      <xdr:colOff>38100</xdr:colOff>
      <xdr:row>68</xdr:row>
      <xdr:rowOff>127000</xdr:rowOff>
    </xdr:to>
    <xdr:sp macro="" textlink="">
      <xdr:nvSpPr>
        <xdr:cNvPr id="19" name="Rectangle 18">
          <a:extLst>
            <a:ext uri="{FF2B5EF4-FFF2-40B4-BE49-F238E27FC236}">
              <a16:creationId xmlns:a16="http://schemas.microsoft.com/office/drawing/2014/main" id="{36FCF129-06EA-8C40-91A4-24861953D6FE}"/>
            </a:ext>
          </a:extLst>
        </xdr:cNvPr>
        <xdr:cNvSpPr/>
      </xdr:nvSpPr>
      <xdr:spPr>
        <a:xfrm>
          <a:off x="0" y="14084300"/>
          <a:ext cx="2514600" cy="533400"/>
        </a:xfrm>
        <a:prstGeom prst="rect">
          <a:avLst/>
        </a:prstGeom>
        <a:solidFill>
          <a:schemeClr val="accent2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Access</a:t>
          </a:r>
        </a:p>
      </xdr:txBody>
    </xdr:sp>
    <xdr:clientData/>
  </xdr:twoCellAnchor>
  <xdr:twoCellAnchor>
    <xdr:from>
      <xdr:col>4</xdr:col>
      <xdr:colOff>0</xdr:colOff>
      <xdr:row>71</xdr:row>
      <xdr:rowOff>0</xdr:rowOff>
    </xdr:from>
    <xdr:to>
      <xdr:col>6</xdr:col>
      <xdr:colOff>368300</xdr:colOff>
      <xdr:row>74</xdr:row>
      <xdr:rowOff>63500</xdr:rowOff>
    </xdr:to>
    <xdr:sp macro="" textlink="">
      <xdr:nvSpPr>
        <xdr:cNvPr id="20" name="Rectangle 19">
          <a:extLst>
            <a:ext uri="{FF2B5EF4-FFF2-40B4-BE49-F238E27FC236}">
              <a16:creationId xmlns:a16="http://schemas.microsoft.com/office/drawing/2014/main" id="{3D82DC0F-680F-8849-96A5-C1C8AF2AB0F3}"/>
            </a:ext>
          </a:extLst>
        </xdr:cNvPr>
        <xdr:cNvSpPr/>
      </xdr:nvSpPr>
      <xdr:spPr>
        <a:xfrm>
          <a:off x="3302000" y="15100300"/>
          <a:ext cx="2019300" cy="673100"/>
        </a:xfrm>
        <a:prstGeom prst="rect">
          <a:avLst/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  <xdr:twoCellAnchor>
    <xdr:from>
      <xdr:col>4</xdr:col>
      <xdr:colOff>0</xdr:colOff>
      <xdr:row>77</xdr:row>
      <xdr:rowOff>0</xdr:rowOff>
    </xdr:from>
    <xdr:to>
      <xdr:col>6</xdr:col>
      <xdr:colOff>381000</xdr:colOff>
      <xdr:row>80</xdr:row>
      <xdr:rowOff>152400</xdr:rowOff>
    </xdr:to>
    <xdr:sp macro="" textlink="">
      <xdr:nvSpPr>
        <xdr:cNvPr id="21" name="Rectangle 20">
          <a:extLst>
            <a:ext uri="{FF2B5EF4-FFF2-40B4-BE49-F238E27FC236}">
              <a16:creationId xmlns:a16="http://schemas.microsoft.com/office/drawing/2014/main" id="{4E69E806-1CE0-DC40-8756-970B5B17CF5B}"/>
            </a:ext>
          </a:extLst>
        </xdr:cNvPr>
        <xdr:cNvSpPr/>
      </xdr:nvSpPr>
      <xdr:spPr>
        <a:xfrm>
          <a:off x="3302000" y="16319500"/>
          <a:ext cx="2032000" cy="762000"/>
        </a:xfrm>
        <a:prstGeom prst="rect">
          <a:avLst/>
        </a:prstGeom>
        <a:solidFill>
          <a:srgbClr val="00B05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 sz="2200"/>
            <a:t>Login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AFE950-5B3C-524E-9704-0609BF069824}">
  <sheetPr>
    <pageSetUpPr fitToPage="1"/>
  </sheetPr>
  <dimension ref="A1:Q106"/>
  <sheetViews>
    <sheetView showGridLines="0" view="pageBreakPreview" topLeftCell="A5" zoomScaleNormal="100" zoomScaleSheetLayoutView="100" workbookViewId="0">
      <selection activeCell="A5" sqref="A5"/>
    </sheetView>
  </sheetViews>
  <sheetFormatPr baseColWidth="10" defaultRowHeight="16" x14ac:dyDescent="0.2"/>
  <cols>
    <col min="4" max="4" width="5.5" customWidth="1"/>
    <col min="13" max="13" width="14.6640625" bestFit="1" customWidth="1"/>
  </cols>
  <sheetData>
    <row r="1" spans="1:17" ht="43" customHeight="1" x14ac:dyDescent="0.6">
      <c r="A1" s="74"/>
      <c r="B1" s="75"/>
      <c r="C1" s="76"/>
      <c r="D1" s="76"/>
      <c r="E1" s="76"/>
      <c r="F1" s="76"/>
      <c r="G1" s="76"/>
      <c r="H1" s="76"/>
      <c r="I1" s="76"/>
      <c r="J1" s="76"/>
      <c r="K1" s="76"/>
      <c r="L1" s="76"/>
      <c r="M1" s="78"/>
      <c r="N1" s="79"/>
      <c r="O1" s="61"/>
      <c r="P1" s="61"/>
      <c r="Q1" s="61"/>
    </row>
    <row r="2" spans="1:17" ht="43" customHeight="1" x14ac:dyDescent="0.6">
      <c r="A2" s="60"/>
      <c r="B2" s="59"/>
      <c r="C2" s="77"/>
      <c r="D2" s="77"/>
      <c r="E2" s="77"/>
      <c r="F2" s="77"/>
      <c r="G2" s="77"/>
      <c r="H2" s="77"/>
      <c r="I2" s="77"/>
      <c r="J2" s="77"/>
      <c r="K2" s="77"/>
      <c r="L2" s="77"/>
      <c r="M2" s="5"/>
      <c r="N2" s="43"/>
      <c r="O2" s="61"/>
      <c r="P2" s="61"/>
      <c r="Q2" s="6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9"/>
      <c r="O4" s="86"/>
      <c r="P4" s="86"/>
    </row>
    <row r="5" spans="1:17" x14ac:dyDescent="0.2">
      <c r="A5" s="9"/>
      <c r="B5" s="3"/>
      <c r="C5" s="3"/>
      <c r="D5" s="88"/>
      <c r="E5" s="88"/>
      <c r="F5" s="88"/>
      <c r="G5" s="88"/>
      <c r="H5" s="88"/>
      <c r="I5" s="88"/>
      <c r="J5" s="88"/>
      <c r="K5" s="88"/>
      <c r="L5" s="88"/>
      <c r="M5" s="88"/>
      <c r="N5" s="89"/>
      <c r="O5" s="86"/>
      <c r="P5" s="86"/>
    </row>
    <row r="6" spans="1:17" x14ac:dyDescent="0.2">
      <c r="A6" s="9"/>
      <c r="B6" s="3"/>
      <c r="C6" s="3"/>
      <c r="D6" s="88"/>
      <c r="E6" s="88"/>
      <c r="F6" s="88"/>
      <c r="G6" s="88"/>
      <c r="H6" s="88"/>
      <c r="I6" s="88"/>
      <c r="J6" s="88"/>
      <c r="K6" s="88"/>
      <c r="L6" s="88"/>
      <c r="M6" s="88"/>
      <c r="N6" s="89"/>
      <c r="O6" s="86"/>
      <c r="P6" s="86"/>
    </row>
    <row r="7" spans="1:17" x14ac:dyDescent="0.2">
      <c r="A7" s="9"/>
      <c r="B7" s="3"/>
      <c r="C7" s="3"/>
      <c r="D7" s="88"/>
      <c r="E7" s="88"/>
      <c r="F7" s="88"/>
      <c r="G7" s="88"/>
      <c r="H7" s="88"/>
      <c r="I7" s="88"/>
      <c r="J7" s="88"/>
      <c r="K7" s="88"/>
      <c r="L7" s="88"/>
      <c r="M7" s="88"/>
      <c r="N7" s="89"/>
      <c r="O7" s="86"/>
      <c r="P7" s="86"/>
    </row>
    <row r="8" spans="1:17" x14ac:dyDescent="0.2">
      <c r="A8" s="9"/>
      <c r="B8" s="3"/>
      <c r="C8" s="3"/>
      <c r="D8" s="88"/>
      <c r="E8" s="88"/>
      <c r="F8" s="88"/>
      <c r="G8" s="88"/>
      <c r="H8" s="88"/>
      <c r="I8" s="88"/>
      <c r="J8" s="88"/>
      <c r="K8" s="88"/>
      <c r="L8" s="88"/>
      <c r="M8" s="88"/>
      <c r="N8" s="89"/>
      <c r="O8" s="86"/>
      <c r="P8" s="86"/>
    </row>
    <row r="9" spans="1:17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10"/>
    </row>
    <row r="10" spans="1:17" x14ac:dyDescent="0.2">
      <c r="A10" s="9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10"/>
    </row>
    <row r="11" spans="1:17" x14ac:dyDescent="0.2">
      <c r="A11" s="9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10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10"/>
    </row>
    <row r="13" spans="1:17" x14ac:dyDescent="0.2">
      <c r="A13" s="9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10"/>
    </row>
    <row r="14" spans="1:17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10"/>
    </row>
    <row r="15" spans="1:17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10"/>
    </row>
    <row r="16" spans="1:17" x14ac:dyDescent="0.2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10"/>
    </row>
    <row r="17" spans="1:14" x14ac:dyDescent="0.2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10"/>
    </row>
    <row r="18" spans="1:14" x14ac:dyDescent="0.2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10"/>
    </row>
    <row r="19" spans="1:14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10"/>
    </row>
    <row r="20" spans="1:14" x14ac:dyDescent="0.2">
      <c r="A20" s="9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10"/>
    </row>
    <row r="21" spans="1:14" x14ac:dyDescent="0.2">
      <c r="A21" s="9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10"/>
    </row>
    <row r="22" spans="1:14" x14ac:dyDescent="0.2">
      <c r="A22" s="9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10"/>
    </row>
    <row r="23" spans="1:14" x14ac:dyDescent="0.2">
      <c r="A23" s="9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10"/>
    </row>
    <row r="24" spans="1:14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10"/>
    </row>
    <row r="25" spans="1:14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10"/>
    </row>
    <row r="26" spans="1:14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10"/>
    </row>
    <row r="27" spans="1:14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10"/>
    </row>
    <row r="28" spans="1:14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10"/>
    </row>
    <row r="29" spans="1:14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10"/>
    </row>
    <row r="30" spans="1:14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10"/>
    </row>
    <row r="31" spans="1:14" ht="96" x14ac:dyDescent="0.2">
      <c r="A31" s="265" t="s">
        <v>62</v>
      </c>
      <c r="B31" s="266"/>
      <c r="C31" s="266"/>
      <c r="D31" s="266"/>
      <c r="E31" s="266"/>
      <c r="F31" s="266"/>
      <c r="G31" s="266"/>
      <c r="H31" s="266"/>
      <c r="I31" s="266"/>
      <c r="J31" s="266"/>
      <c r="K31" s="266"/>
      <c r="L31" s="266"/>
      <c r="M31" s="266"/>
      <c r="N31" s="267"/>
    </row>
    <row r="32" spans="1:14" x14ac:dyDescent="0.2">
      <c r="A32" s="9"/>
      <c r="B32" s="3"/>
      <c r="C32" s="3"/>
      <c r="D32" s="4"/>
      <c r="E32" s="4"/>
      <c r="F32" s="4"/>
      <c r="G32" s="4"/>
      <c r="H32" s="4"/>
      <c r="I32" s="4"/>
      <c r="J32" s="4"/>
      <c r="K32" s="4"/>
      <c r="L32" s="3"/>
      <c r="M32" s="3"/>
      <c r="N32" s="10"/>
    </row>
    <row r="33" spans="1:14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10"/>
    </row>
    <row r="34" spans="1:14" ht="47" x14ac:dyDescent="0.55000000000000004">
      <c r="A34" s="262" t="s">
        <v>55</v>
      </c>
      <c r="B34" s="263"/>
      <c r="C34" s="263"/>
      <c r="D34" s="263"/>
      <c r="E34" s="263"/>
      <c r="F34" s="263"/>
      <c r="G34" s="263"/>
      <c r="H34" s="263"/>
      <c r="I34" s="263"/>
      <c r="J34" s="263"/>
      <c r="K34" s="263"/>
      <c r="L34" s="263"/>
      <c r="M34" s="263"/>
      <c r="N34" s="264"/>
    </row>
    <row r="35" spans="1:14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10"/>
    </row>
    <row r="36" spans="1:14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10"/>
    </row>
    <row r="37" spans="1:14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10"/>
    </row>
    <row r="38" spans="1:14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10"/>
    </row>
    <row r="39" spans="1:14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10"/>
    </row>
    <row r="40" spans="1:14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10"/>
    </row>
    <row r="41" spans="1:14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10"/>
    </row>
    <row r="42" spans="1:14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10"/>
    </row>
    <row r="43" spans="1:14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10"/>
    </row>
    <row r="44" spans="1:14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10"/>
    </row>
    <row r="45" spans="1:14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10"/>
    </row>
    <row r="46" spans="1:14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10"/>
    </row>
    <row r="47" spans="1:14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10"/>
    </row>
    <row r="48" spans="1:14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10"/>
    </row>
    <row r="49" spans="1:14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10"/>
    </row>
    <row r="50" spans="1:14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10"/>
    </row>
    <row r="51" spans="1:14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10"/>
    </row>
    <row r="52" spans="1:14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10"/>
    </row>
    <row r="53" spans="1:14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10"/>
    </row>
    <row r="54" spans="1:14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10"/>
    </row>
    <row r="55" spans="1:14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10"/>
    </row>
    <row r="56" spans="1:14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10"/>
    </row>
    <row r="57" spans="1:14" ht="24" x14ac:dyDescent="0.3">
      <c r="A57" s="9"/>
      <c r="B57" s="260" t="s">
        <v>19</v>
      </c>
      <c r="C57" s="260"/>
      <c r="D57" s="66">
        <v>1</v>
      </c>
      <c r="E57" s="67" t="s">
        <v>61</v>
      </c>
      <c r="F57" s="44"/>
      <c r="G57" s="3"/>
      <c r="H57" s="3"/>
      <c r="I57" s="3"/>
      <c r="J57" s="3"/>
      <c r="K57" s="3"/>
      <c r="L57" s="3"/>
      <c r="M57" s="3"/>
      <c r="N57" s="10"/>
    </row>
    <row r="58" spans="1:14" ht="24" x14ac:dyDescent="0.3">
      <c r="A58" s="9"/>
      <c r="B58" s="3"/>
      <c r="C58" s="3"/>
      <c r="D58" s="66">
        <v>2</v>
      </c>
      <c r="E58" s="67" t="s">
        <v>57</v>
      </c>
      <c r="F58" s="44"/>
      <c r="G58" s="3"/>
      <c r="H58" s="3"/>
      <c r="I58" s="3"/>
      <c r="J58" s="3"/>
      <c r="K58" s="3"/>
      <c r="L58" s="3"/>
      <c r="M58" s="3"/>
      <c r="N58" s="10"/>
    </row>
    <row r="59" spans="1:14" ht="24" x14ac:dyDescent="0.3">
      <c r="A59" s="9"/>
      <c r="B59" s="3"/>
      <c r="C59" s="3"/>
      <c r="D59" s="66">
        <v>3</v>
      </c>
      <c r="E59" s="67" t="s">
        <v>58</v>
      </c>
      <c r="F59" s="44"/>
      <c r="G59" s="3"/>
      <c r="H59" s="3"/>
      <c r="I59" s="3"/>
      <c r="J59" s="3"/>
      <c r="K59" s="3"/>
      <c r="L59" s="3"/>
      <c r="M59" s="3"/>
      <c r="N59" s="10"/>
    </row>
    <row r="60" spans="1:14" ht="24" x14ac:dyDescent="0.3">
      <c r="A60" s="9"/>
      <c r="B60" s="3"/>
      <c r="C60" s="3"/>
      <c r="D60" s="66">
        <v>4</v>
      </c>
      <c r="E60" s="67" t="s">
        <v>59</v>
      </c>
      <c r="F60" s="44"/>
      <c r="G60" s="3"/>
      <c r="H60" s="3"/>
      <c r="I60" s="3"/>
      <c r="J60" s="3"/>
      <c r="K60" s="3"/>
      <c r="L60" s="3"/>
      <c r="M60" s="3"/>
      <c r="N60" s="10"/>
    </row>
    <row r="61" spans="1:14" ht="24" x14ac:dyDescent="0.3">
      <c r="A61" s="9"/>
      <c r="B61" s="3"/>
      <c r="C61" s="3"/>
      <c r="D61" s="66">
        <v>5</v>
      </c>
      <c r="E61" s="67" t="s">
        <v>56</v>
      </c>
      <c r="F61" s="44"/>
      <c r="G61" s="3"/>
      <c r="H61" s="3"/>
      <c r="I61" s="3"/>
      <c r="J61" s="3"/>
      <c r="K61" s="3"/>
      <c r="L61" s="3"/>
      <c r="M61" s="3"/>
      <c r="N61" s="10"/>
    </row>
    <row r="62" spans="1:14" ht="24" x14ac:dyDescent="0.3">
      <c r="A62" s="9"/>
      <c r="B62" s="3"/>
      <c r="C62" s="3"/>
      <c r="D62" s="68">
        <v>6</v>
      </c>
      <c r="E62" s="67" t="s">
        <v>60</v>
      </c>
      <c r="F62" s="44"/>
      <c r="G62" s="3"/>
      <c r="H62" s="3"/>
      <c r="I62" s="3"/>
      <c r="J62" s="3"/>
      <c r="K62" s="3"/>
      <c r="L62" s="3"/>
      <c r="M62" s="3"/>
      <c r="N62" s="10"/>
    </row>
    <row r="63" spans="1:14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261" t="s">
        <v>21</v>
      </c>
      <c r="L63" s="261"/>
      <c r="M63" s="69">
        <v>44555</v>
      </c>
      <c r="N63" s="10"/>
    </row>
    <row r="64" spans="1:14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261" t="s">
        <v>20</v>
      </c>
      <c r="L64" s="261"/>
      <c r="M64" s="69">
        <f ca="1">NOW()</f>
        <v>44575.899132638886</v>
      </c>
      <c r="N64" s="10"/>
    </row>
    <row r="65" spans="1:14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10"/>
    </row>
    <row r="66" spans="1:14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3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5">
    <mergeCell ref="B57:C57"/>
    <mergeCell ref="K63:L63"/>
    <mergeCell ref="K64:L64"/>
    <mergeCell ref="A34:N34"/>
    <mergeCell ref="A31:N31"/>
  </mergeCells>
  <printOptions horizontalCentered="1"/>
  <pageMargins left="0.25" right="0.25" top="0.75" bottom="0.75" header="0.3" footer="0.3"/>
  <pageSetup paperSize="9" scale="61" orientation="portrait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01546-647D-314F-966F-D11091521896}">
  <dimension ref="A1:Q64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53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44575.899132638886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9"/>
      <c r="B4" s="3"/>
      <c r="C4" s="3"/>
      <c r="D4" s="88"/>
      <c r="E4" s="88"/>
      <c r="F4" s="88"/>
      <c r="G4" s="88"/>
      <c r="H4" s="88"/>
      <c r="I4" s="88"/>
      <c r="J4" s="88"/>
      <c r="K4" s="88"/>
      <c r="L4" s="88"/>
      <c r="M4" s="88"/>
      <c r="N4" s="88"/>
      <c r="O4" s="88"/>
      <c r="P4" s="88"/>
      <c r="Q4" s="10"/>
    </row>
    <row r="5" spans="1:17" s="2" customFormat="1" ht="33" x14ac:dyDescent="0.4">
      <c r="A5" s="94" t="s">
        <v>42</v>
      </c>
      <c r="B5" s="95"/>
      <c r="C5" s="96"/>
      <c r="D5" s="97"/>
      <c r="E5" s="97"/>
      <c r="F5" s="97"/>
      <c r="G5" s="97"/>
      <c r="H5" s="97"/>
      <c r="I5" s="97"/>
      <c r="J5" s="97"/>
      <c r="K5" s="97"/>
      <c r="L5" s="97"/>
      <c r="M5" s="98"/>
      <c r="N5" s="97"/>
      <c r="O5" s="97"/>
      <c r="P5" s="97"/>
      <c r="Q5" s="99"/>
    </row>
    <row r="6" spans="1:17" ht="33" x14ac:dyDescent="0.4">
      <c r="A6" s="100"/>
      <c r="B6" s="95"/>
      <c r="C6" s="95">
        <v>1</v>
      </c>
      <c r="D6" s="97" t="s">
        <v>63</v>
      </c>
      <c r="E6" s="97"/>
      <c r="F6" s="97"/>
      <c r="G6" s="97"/>
      <c r="H6" s="97"/>
      <c r="I6" s="97"/>
      <c r="J6" s="97"/>
      <c r="K6" s="97"/>
      <c r="L6" s="97"/>
      <c r="M6" s="97"/>
      <c r="N6" s="97"/>
      <c r="O6" s="97"/>
      <c r="P6" s="97"/>
      <c r="Q6" s="99"/>
    </row>
    <row r="7" spans="1:17" ht="33" x14ac:dyDescent="0.4">
      <c r="A7" s="100"/>
      <c r="B7" s="95"/>
      <c r="C7" s="95"/>
      <c r="D7" s="101" t="s">
        <v>43</v>
      </c>
      <c r="E7" s="97" t="s">
        <v>64</v>
      </c>
      <c r="F7" s="97"/>
      <c r="G7" s="97"/>
      <c r="H7" s="97"/>
      <c r="I7" s="97"/>
      <c r="J7" s="97"/>
      <c r="K7" s="97"/>
      <c r="L7" s="97"/>
      <c r="M7" s="97"/>
      <c r="N7" s="97"/>
      <c r="O7" s="97"/>
      <c r="P7" s="97"/>
      <c r="Q7" s="99"/>
    </row>
    <row r="8" spans="1:17" ht="33" x14ac:dyDescent="0.4">
      <c r="A8" s="100"/>
      <c r="B8" s="95"/>
      <c r="C8" s="95"/>
      <c r="D8" s="97"/>
      <c r="E8" s="102" t="s">
        <v>44</v>
      </c>
      <c r="F8" s="97" t="s">
        <v>64</v>
      </c>
      <c r="G8" s="97"/>
      <c r="H8" s="97"/>
      <c r="I8" s="97"/>
      <c r="J8" s="97"/>
      <c r="K8" s="97"/>
      <c r="L8" s="97"/>
      <c r="M8" s="97"/>
      <c r="N8" s="97"/>
      <c r="O8" s="97"/>
      <c r="P8" s="97"/>
      <c r="Q8" s="99"/>
    </row>
    <row r="9" spans="1:17" ht="33" x14ac:dyDescent="0.4">
      <c r="A9" s="100"/>
      <c r="B9" s="95"/>
      <c r="C9" s="95"/>
      <c r="D9" s="95"/>
      <c r="E9" s="95"/>
      <c r="F9" s="95" t="s">
        <v>45</v>
      </c>
      <c r="G9" s="95" t="s">
        <v>70</v>
      </c>
      <c r="H9" s="95"/>
      <c r="I9" s="95"/>
      <c r="J9" s="95"/>
      <c r="K9" s="95"/>
      <c r="L9" s="95"/>
      <c r="M9" s="95"/>
      <c r="N9" s="95"/>
      <c r="O9" s="95"/>
      <c r="P9" s="95"/>
      <c r="Q9" s="99"/>
    </row>
    <row r="10" spans="1:17" ht="33" x14ac:dyDescent="0.4">
      <c r="A10" s="100"/>
      <c r="B10" s="95"/>
      <c r="C10" s="95"/>
      <c r="D10" s="95"/>
      <c r="E10" s="95"/>
      <c r="F10" s="95" t="s">
        <v>46</v>
      </c>
      <c r="G10" s="95" t="s">
        <v>69</v>
      </c>
      <c r="H10" s="95"/>
      <c r="I10" s="95"/>
      <c r="J10" s="95"/>
      <c r="K10" s="95"/>
      <c r="L10" s="95"/>
      <c r="M10" s="95"/>
      <c r="N10" s="95"/>
      <c r="O10" s="95"/>
      <c r="P10" s="95"/>
      <c r="Q10" s="99"/>
    </row>
    <row r="11" spans="1:17" ht="33" x14ac:dyDescent="0.4">
      <c r="A11" s="100"/>
      <c r="B11" s="95"/>
      <c r="C11" s="95"/>
      <c r="D11" s="95"/>
      <c r="E11" s="95"/>
      <c r="F11" s="95" t="s">
        <v>47</v>
      </c>
      <c r="G11" s="95" t="s">
        <v>68</v>
      </c>
      <c r="H11" s="95"/>
      <c r="I11" s="95"/>
      <c r="J11" s="95" t="s">
        <v>89</v>
      </c>
      <c r="K11" s="95"/>
      <c r="L11" s="95"/>
      <c r="M11" s="95"/>
      <c r="N11" s="95"/>
      <c r="O11" s="95"/>
      <c r="P11" s="95"/>
      <c r="Q11" s="99"/>
    </row>
    <row r="12" spans="1:17" ht="33" x14ac:dyDescent="0.4">
      <c r="A12" s="100"/>
      <c r="B12" s="95"/>
      <c r="C12" s="95"/>
      <c r="D12" s="95"/>
      <c r="E12" s="95"/>
      <c r="F12" s="95" t="s">
        <v>48</v>
      </c>
      <c r="G12" s="95" t="s">
        <v>75</v>
      </c>
      <c r="H12" s="95"/>
      <c r="I12" s="95"/>
      <c r="J12" s="95"/>
      <c r="K12" s="95"/>
      <c r="L12" s="95"/>
      <c r="M12" s="95"/>
      <c r="N12" s="95"/>
      <c r="O12" s="95"/>
      <c r="P12" s="95"/>
      <c r="Q12" s="99"/>
    </row>
    <row r="13" spans="1:17" ht="33" x14ac:dyDescent="0.4">
      <c r="A13" s="100"/>
      <c r="B13" s="95"/>
      <c r="C13" s="95"/>
      <c r="D13" s="95"/>
      <c r="E13" s="95"/>
      <c r="F13" s="95" t="s">
        <v>49</v>
      </c>
      <c r="G13" s="95" t="s">
        <v>76</v>
      </c>
      <c r="H13" s="95"/>
      <c r="I13" s="95"/>
      <c r="J13" s="95"/>
      <c r="K13" s="95"/>
      <c r="L13" s="95"/>
      <c r="M13" s="95"/>
      <c r="N13" s="95"/>
      <c r="O13" s="95"/>
      <c r="P13" s="95"/>
      <c r="Q13" s="99"/>
    </row>
    <row r="14" spans="1:17" ht="33" x14ac:dyDescent="0.4">
      <c r="A14" s="100"/>
      <c r="B14" s="95"/>
      <c r="C14" s="95"/>
      <c r="D14" s="95"/>
      <c r="E14" s="95"/>
      <c r="F14" s="95" t="s">
        <v>77</v>
      </c>
      <c r="G14" s="95" t="s">
        <v>82</v>
      </c>
      <c r="H14" s="95"/>
      <c r="I14" s="95"/>
      <c r="J14" s="95"/>
      <c r="K14" s="95"/>
      <c r="L14" s="95"/>
      <c r="M14" s="95"/>
      <c r="N14" s="95"/>
      <c r="O14" s="95"/>
      <c r="P14" s="95"/>
      <c r="Q14" s="99"/>
    </row>
    <row r="15" spans="1:17" ht="33" x14ac:dyDescent="0.4">
      <c r="A15" s="100"/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9"/>
    </row>
    <row r="16" spans="1:17" ht="33" x14ac:dyDescent="0.4">
      <c r="A16" s="100"/>
      <c r="B16" s="95"/>
      <c r="C16" s="95"/>
      <c r="D16" s="101" t="s">
        <v>50</v>
      </c>
      <c r="E16" s="97" t="s">
        <v>179</v>
      </c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9"/>
    </row>
    <row r="17" spans="1:17" ht="33" x14ac:dyDescent="0.4">
      <c r="A17" s="100"/>
      <c r="B17" s="95"/>
      <c r="C17" s="95"/>
      <c r="D17" s="95"/>
      <c r="E17" s="103" t="s">
        <v>51</v>
      </c>
      <c r="F17" s="95" t="s">
        <v>52</v>
      </c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9"/>
    </row>
    <row r="18" spans="1:17" ht="33" x14ac:dyDescent="0.4">
      <c r="A18" s="100"/>
      <c r="B18" s="95"/>
      <c r="C18" s="95"/>
      <c r="D18" s="95"/>
      <c r="E18" s="95"/>
      <c r="F18" s="95" t="s">
        <v>45</v>
      </c>
      <c r="G18" s="95" t="s">
        <v>70</v>
      </c>
      <c r="H18" s="95"/>
      <c r="I18" s="95"/>
      <c r="J18" s="95"/>
      <c r="K18" s="95"/>
      <c r="L18" s="95"/>
      <c r="M18" s="95"/>
      <c r="N18" s="95"/>
      <c r="O18" s="95"/>
      <c r="P18" s="95"/>
      <c r="Q18" s="99"/>
    </row>
    <row r="19" spans="1:17" ht="33" x14ac:dyDescent="0.4">
      <c r="A19" s="100"/>
      <c r="B19" s="95"/>
      <c r="C19" s="95"/>
      <c r="D19" s="95"/>
      <c r="E19" s="95"/>
      <c r="F19" s="95" t="s">
        <v>46</v>
      </c>
      <c r="G19" s="95" t="s">
        <v>71</v>
      </c>
      <c r="H19" s="95"/>
      <c r="I19" s="95"/>
      <c r="J19" s="95"/>
      <c r="K19" s="95"/>
      <c r="L19" s="95"/>
      <c r="M19" s="95"/>
      <c r="N19" s="95"/>
      <c r="O19" s="95"/>
      <c r="P19" s="95"/>
      <c r="Q19" s="99"/>
    </row>
    <row r="20" spans="1:17" ht="33" x14ac:dyDescent="0.4">
      <c r="A20" s="100"/>
      <c r="B20" s="95"/>
      <c r="C20" s="95"/>
      <c r="D20" s="95"/>
      <c r="E20" s="95"/>
      <c r="F20" s="95" t="s">
        <v>47</v>
      </c>
      <c r="G20" s="95" t="s">
        <v>72</v>
      </c>
      <c r="H20" s="95"/>
      <c r="I20" s="95"/>
      <c r="J20" s="95"/>
      <c r="K20" s="95"/>
      <c r="L20" s="95"/>
      <c r="M20" s="95"/>
      <c r="N20" s="95"/>
      <c r="O20" s="95"/>
      <c r="P20" s="95"/>
      <c r="Q20" s="99"/>
    </row>
    <row r="21" spans="1:17" ht="33" x14ac:dyDescent="0.4">
      <c r="A21" s="100"/>
      <c r="B21" s="95"/>
      <c r="C21" s="95"/>
      <c r="D21" s="95"/>
      <c r="E21" s="95"/>
      <c r="F21" s="95" t="s">
        <v>48</v>
      </c>
      <c r="G21" s="95" t="s">
        <v>73</v>
      </c>
      <c r="H21" s="95"/>
      <c r="I21" s="95"/>
      <c r="J21" s="95"/>
      <c r="K21" s="95"/>
      <c r="L21" s="95"/>
      <c r="M21" s="95"/>
      <c r="N21" s="95"/>
      <c r="O21" s="95"/>
      <c r="P21" s="95"/>
      <c r="Q21" s="99"/>
    </row>
    <row r="22" spans="1:17" ht="33" x14ac:dyDescent="0.4">
      <c r="A22" s="100"/>
      <c r="B22" s="95"/>
      <c r="C22" s="95"/>
      <c r="D22" s="95"/>
      <c r="E22" s="95"/>
      <c r="F22" s="95" t="s">
        <v>49</v>
      </c>
      <c r="G22" s="95" t="s">
        <v>74</v>
      </c>
      <c r="H22" s="95"/>
      <c r="I22" s="95"/>
      <c r="J22" s="95"/>
      <c r="K22" s="95"/>
      <c r="L22" s="95"/>
      <c r="M22" s="95"/>
      <c r="N22" s="95"/>
      <c r="O22" s="95"/>
      <c r="P22" s="95"/>
      <c r="Q22" s="99"/>
    </row>
    <row r="23" spans="1:17" ht="33" x14ac:dyDescent="0.4">
      <c r="A23" s="100"/>
      <c r="B23" s="95"/>
      <c r="C23" s="95"/>
      <c r="D23" s="95"/>
      <c r="E23" s="95"/>
      <c r="F23" s="95" t="s">
        <v>77</v>
      </c>
      <c r="G23" s="95" t="s">
        <v>78</v>
      </c>
      <c r="H23" s="95"/>
      <c r="I23" s="95"/>
      <c r="J23" s="95"/>
      <c r="K23" s="95"/>
      <c r="L23" s="95"/>
      <c r="M23" s="95"/>
      <c r="N23" s="95"/>
      <c r="O23" s="95"/>
      <c r="P23" s="95"/>
      <c r="Q23" s="99"/>
    </row>
    <row r="24" spans="1:17" ht="33" x14ac:dyDescent="0.4">
      <c r="A24" s="100"/>
      <c r="B24" s="95"/>
      <c r="C24" s="95"/>
      <c r="D24" s="95"/>
      <c r="E24" s="95"/>
      <c r="F24" s="95" t="s">
        <v>80</v>
      </c>
      <c r="G24" s="95" t="s">
        <v>81</v>
      </c>
      <c r="H24" s="95"/>
      <c r="I24" s="95"/>
      <c r="J24" s="95"/>
      <c r="K24" s="95"/>
      <c r="L24" s="95"/>
      <c r="M24" s="95"/>
      <c r="N24" s="95"/>
      <c r="O24" s="95"/>
      <c r="P24" s="95"/>
      <c r="Q24" s="99"/>
    </row>
    <row r="25" spans="1:17" ht="33" x14ac:dyDescent="0.4">
      <c r="A25" s="100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9"/>
    </row>
    <row r="26" spans="1:17" ht="33" x14ac:dyDescent="0.4">
      <c r="A26" s="100"/>
      <c r="B26" s="95"/>
      <c r="C26" s="95"/>
      <c r="D26" s="101" t="s">
        <v>65</v>
      </c>
      <c r="E26" s="97" t="s">
        <v>98</v>
      </c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9"/>
    </row>
    <row r="27" spans="1:17" ht="33" x14ac:dyDescent="0.4">
      <c r="A27" s="100"/>
      <c r="B27" s="95"/>
      <c r="C27" s="95"/>
      <c r="D27" s="95"/>
      <c r="E27" s="103" t="s">
        <v>67</v>
      </c>
      <c r="F27" s="95" t="s">
        <v>66</v>
      </c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9"/>
    </row>
    <row r="28" spans="1:17" ht="33" x14ac:dyDescent="0.4">
      <c r="A28" s="100"/>
      <c r="B28" s="95"/>
      <c r="C28" s="95"/>
      <c r="D28" s="95"/>
      <c r="E28" s="104"/>
      <c r="F28" s="95" t="s">
        <v>45</v>
      </c>
      <c r="G28" s="95" t="s">
        <v>79</v>
      </c>
      <c r="I28" s="95"/>
      <c r="J28" s="95"/>
      <c r="K28" s="95"/>
      <c r="L28" s="95"/>
      <c r="M28" s="95"/>
      <c r="N28" s="95"/>
      <c r="O28" s="95"/>
      <c r="P28" s="95"/>
      <c r="Q28" s="99"/>
    </row>
    <row r="29" spans="1:17" ht="33" x14ac:dyDescent="0.4">
      <c r="A29" s="100"/>
      <c r="B29" s="95"/>
      <c r="C29" s="95"/>
      <c r="D29" s="95"/>
      <c r="E29" s="104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9"/>
    </row>
    <row r="30" spans="1:17" ht="33" x14ac:dyDescent="0.4">
      <c r="A30" s="100"/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9"/>
    </row>
    <row r="31" spans="1:17" ht="33" x14ac:dyDescent="0.4">
      <c r="A31" s="100"/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9"/>
    </row>
    <row r="32" spans="1:17" ht="33" x14ac:dyDescent="0.4">
      <c r="A32" s="100"/>
      <c r="B32" s="95"/>
      <c r="C32" s="95"/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9"/>
    </row>
    <row r="33" spans="1:17" ht="33" x14ac:dyDescent="0.4">
      <c r="A33" s="100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9"/>
    </row>
    <row r="34" spans="1:17" ht="33" x14ac:dyDescent="0.4">
      <c r="A34" s="100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9"/>
    </row>
    <row r="35" spans="1:17" ht="33" x14ac:dyDescent="0.4">
      <c r="A35" s="100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9"/>
    </row>
    <row r="36" spans="1:17" ht="33" x14ac:dyDescent="0.4">
      <c r="A36" s="100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9"/>
    </row>
    <row r="37" spans="1:17" ht="33" x14ac:dyDescent="0.4">
      <c r="A37" s="100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9"/>
    </row>
    <row r="38" spans="1:17" ht="33" x14ac:dyDescent="0.4">
      <c r="A38" s="100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9"/>
    </row>
    <row r="39" spans="1:17" ht="33" x14ac:dyDescent="0.4">
      <c r="A39" s="100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9"/>
    </row>
    <row r="40" spans="1:17" ht="33" x14ac:dyDescent="0.4">
      <c r="A40" s="100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9"/>
    </row>
    <row r="41" spans="1:17" ht="33" x14ac:dyDescent="0.4">
      <c r="A41" s="100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9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ht="17" thickBot="1" x14ac:dyDescent="0.25">
      <c r="A43" s="11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3"/>
    </row>
    <row r="57" spans="4:13" ht="24" x14ac:dyDescent="0.3">
      <c r="D57" s="62"/>
      <c r="E57" s="62"/>
      <c r="F57" s="62"/>
    </row>
    <row r="58" spans="4:13" ht="24" x14ac:dyDescent="0.3">
      <c r="D58" s="62"/>
      <c r="E58" s="62"/>
      <c r="F58" s="62"/>
    </row>
    <row r="59" spans="4:13" ht="24" x14ac:dyDescent="0.3">
      <c r="D59" s="62"/>
      <c r="E59" s="62"/>
      <c r="F59" s="62"/>
    </row>
    <row r="60" spans="4:13" ht="24" x14ac:dyDescent="0.3">
      <c r="D60" s="62"/>
      <c r="E60" s="62"/>
      <c r="F60" s="62"/>
    </row>
    <row r="61" spans="4:13" ht="24" x14ac:dyDescent="0.3">
      <c r="D61" s="62"/>
      <c r="E61" s="62"/>
      <c r="F61" s="62"/>
    </row>
    <row r="62" spans="4:13" ht="24" x14ac:dyDescent="0.3">
      <c r="D62" s="62"/>
      <c r="E62" s="62"/>
      <c r="F62" s="62"/>
    </row>
    <row r="63" spans="4:13" ht="21" x14ac:dyDescent="0.25">
      <c r="K63" s="61"/>
      <c r="L63" s="61"/>
      <c r="M63" s="61"/>
    </row>
    <row r="64" spans="4:13" ht="21" x14ac:dyDescent="0.25">
      <c r="K64" s="61"/>
      <c r="L64" s="61"/>
      <c r="M64" s="61"/>
    </row>
  </sheetData>
  <mergeCells count="4">
    <mergeCell ref="A1:B2"/>
    <mergeCell ref="C1:N2"/>
    <mergeCell ref="P1:Q1"/>
    <mergeCell ref="P2:Q2"/>
  </mergeCells>
  <printOptions horizontalCentered="1"/>
  <pageMargins left="0.25" right="0.25" top="0.75" bottom="0.75" header="0.3" footer="0.3"/>
  <pageSetup paperSize="9" scale="45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39F5A-DF39-F541-B8C2-02BEDD153576}">
  <sheetPr>
    <pageSetUpPr fitToPage="1"/>
  </sheetPr>
  <dimension ref="A1:Q106"/>
  <sheetViews>
    <sheetView showGridLines="0" tabSelected="1" view="pageBreakPreview" zoomScaleNormal="140" zoomScaleSheetLayoutView="100" workbookViewId="0">
      <selection sqref="A1:B2"/>
    </sheetView>
  </sheetViews>
  <sheetFormatPr baseColWidth="10" defaultRowHeight="16" x14ac:dyDescent="0.2"/>
  <cols>
    <col min="1" max="1" width="8.1640625" customWidth="1"/>
    <col min="2" max="2" width="5.5" customWidth="1"/>
    <col min="3" max="3" width="10.5" customWidth="1"/>
    <col min="4" max="4" width="12.1640625" customWidth="1"/>
    <col min="5" max="5" width="35" bestFit="1" customWidth="1"/>
    <col min="6" max="6" width="15.83203125" bestFit="1" customWidth="1"/>
    <col min="7" max="7" width="15.6640625" bestFit="1" customWidth="1"/>
    <col min="8" max="8" width="16.6640625" customWidth="1"/>
    <col min="10" max="10" width="14.6640625" customWidth="1"/>
    <col min="11" max="11" width="13.6640625" bestFit="1" customWidth="1"/>
    <col min="13" max="13" width="15.1640625" customWidth="1"/>
  </cols>
  <sheetData>
    <row r="1" spans="1:17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19" t="s">
        <v>21</v>
      </c>
      <c r="N1" s="278">
        <v>44555</v>
      </c>
      <c r="O1" s="279"/>
      <c r="P1" s="61"/>
      <c r="Q1" s="61"/>
    </row>
    <row r="2" spans="1:17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0" t="s">
        <v>20</v>
      </c>
      <c r="N2" s="280">
        <f ca="1">NOW()</f>
        <v>44575.899132638886</v>
      </c>
      <c r="O2" s="281"/>
      <c r="P2" s="61"/>
      <c r="Q2" s="61"/>
    </row>
    <row r="3" spans="1:17" ht="22" thickBot="1" x14ac:dyDescent="0.3">
      <c r="A3" s="16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43"/>
    </row>
    <row r="4" spans="1:17" ht="21" x14ac:dyDescent="0.25">
      <c r="A4" s="9"/>
      <c r="B4" s="3"/>
      <c r="C4" s="36" t="s">
        <v>0</v>
      </c>
      <c r="D4" s="80" t="s">
        <v>1</v>
      </c>
      <c r="E4" s="81" t="s">
        <v>2</v>
      </c>
      <c r="F4" s="81" t="s">
        <v>3</v>
      </c>
      <c r="G4" s="81" t="s">
        <v>4</v>
      </c>
      <c r="H4" s="81" t="s">
        <v>5</v>
      </c>
      <c r="I4" s="81" t="s">
        <v>6</v>
      </c>
      <c r="J4" s="81" t="s">
        <v>7</v>
      </c>
      <c r="K4" s="81" t="s">
        <v>8</v>
      </c>
      <c r="L4" s="82" t="s">
        <v>9</v>
      </c>
      <c r="M4" s="83" t="s">
        <v>10</v>
      </c>
      <c r="N4" s="84"/>
      <c r="O4" s="85"/>
      <c r="P4" s="86"/>
    </row>
    <row r="5" spans="1:17" ht="21" x14ac:dyDescent="0.25">
      <c r="A5" s="9"/>
      <c r="B5" s="3"/>
      <c r="C5" s="37">
        <v>1</v>
      </c>
      <c r="D5" s="87"/>
      <c r="E5" s="39" t="s">
        <v>12</v>
      </c>
      <c r="F5" s="39" t="s">
        <v>83</v>
      </c>
      <c r="G5" s="40">
        <v>44557</v>
      </c>
      <c r="H5" s="40">
        <v>44647</v>
      </c>
      <c r="I5" s="46">
        <f>H5-G5</f>
        <v>90</v>
      </c>
      <c r="J5" s="40">
        <v>44556</v>
      </c>
      <c r="K5" s="40"/>
      <c r="L5" s="41">
        <f>K5-J5</f>
        <v>-44556</v>
      </c>
      <c r="M5" s="42">
        <v>0</v>
      </c>
      <c r="N5" s="84"/>
      <c r="O5" s="85"/>
      <c r="P5" s="86"/>
    </row>
    <row r="6" spans="1:17" ht="21" x14ac:dyDescent="0.25">
      <c r="A6" s="9"/>
      <c r="B6" s="3"/>
      <c r="C6" s="208">
        <v>2</v>
      </c>
      <c r="D6" s="209"/>
      <c r="E6" s="210" t="s">
        <v>13</v>
      </c>
      <c r="F6" s="210" t="s">
        <v>84</v>
      </c>
      <c r="G6" s="211">
        <v>44557</v>
      </c>
      <c r="H6" s="211">
        <v>44564</v>
      </c>
      <c r="I6" s="210">
        <f t="shared" ref="I6:I30" si="0">H6-G6</f>
        <v>7</v>
      </c>
      <c r="J6" s="211">
        <v>44556</v>
      </c>
      <c r="K6" s="211">
        <v>44564</v>
      </c>
      <c r="L6" s="212">
        <f t="shared" ref="L6:L28" si="1">K6-J6</f>
        <v>8</v>
      </c>
      <c r="M6" s="213">
        <v>1</v>
      </c>
      <c r="N6" s="84"/>
      <c r="O6" s="85"/>
      <c r="P6" s="86"/>
    </row>
    <row r="7" spans="1:17" ht="21" x14ac:dyDescent="0.25">
      <c r="A7" s="9"/>
      <c r="B7" s="3"/>
      <c r="C7" s="208">
        <v>3</v>
      </c>
      <c r="D7" s="209"/>
      <c r="E7" s="210" t="s">
        <v>14</v>
      </c>
      <c r="F7" s="210" t="s">
        <v>104</v>
      </c>
      <c r="G7" s="211">
        <v>44564</v>
      </c>
      <c r="H7" s="211">
        <v>44571</v>
      </c>
      <c r="I7" s="210">
        <f t="shared" si="0"/>
        <v>7</v>
      </c>
      <c r="J7" s="211">
        <v>44557</v>
      </c>
      <c r="K7" s="211">
        <v>44570</v>
      </c>
      <c r="L7" s="212">
        <f t="shared" si="1"/>
        <v>13</v>
      </c>
      <c r="M7" s="213">
        <v>1</v>
      </c>
      <c r="N7" s="84"/>
      <c r="O7" s="85"/>
      <c r="P7" s="86"/>
    </row>
    <row r="8" spans="1:17" ht="21" x14ac:dyDescent="0.25">
      <c r="A8" s="9"/>
      <c r="B8" s="3"/>
      <c r="C8" s="208">
        <v>4</v>
      </c>
      <c r="D8" s="209"/>
      <c r="E8" s="210" t="s">
        <v>15</v>
      </c>
      <c r="F8" s="210" t="s">
        <v>84</v>
      </c>
      <c r="G8" s="211">
        <v>44566</v>
      </c>
      <c r="H8" s="211">
        <v>44571</v>
      </c>
      <c r="I8" s="210">
        <f t="shared" si="0"/>
        <v>5</v>
      </c>
      <c r="J8" s="211">
        <v>44566</v>
      </c>
      <c r="K8" s="211">
        <v>44570</v>
      </c>
      <c r="L8" s="212">
        <f t="shared" si="1"/>
        <v>4</v>
      </c>
      <c r="M8" s="213">
        <v>1</v>
      </c>
      <c r="N8" s="84"/>
      <c r="O8" s="85"/>
      <c r="P8" s="86"/>
    </row>
    <row r="9" spans="1:17" ht="22" thickBot="1" x14ac:dyDescent="0.3">
      <c r="A9" s="9"/>
      <c r="B9" s="3"/>
      <c r="C9" s="47">
        <v>5</v>
      </c>
      <c r="D9" s="48"/>
      <c r="E9" s="49" t="s">
        <v>16</v>
      </c>
      <c r="F9" s="49" t="s">
        <v>83</v>
      </c>
      <c r="G9" s="50">
        <v>44571</v>
      </c>
      <c r="H9" s="50">
        <v>44602</v>
      </c>
      <c r="I9" s="49">
        <f t="shared" si="0"/>
        <v>31</v>
      </c>
      <c r="J9" s="50"/>
      <c r="K9" s="50"/>
      <c r="L9" s="124">
        <f t="shared" si="1"/>
        <v>0</v>
      </c>
      <c r="M9" s="51">
        <v>0</v>
      </c>
      <c r="N9" s="5"/>
      <c r="O9" s="43"/>
    </row>
    <row r="10" spans="1:17" ht="21" x14ac:dyDescent="0.25">
      <c r="A10" s="9"/>
      <c r="B10" s="3"/>
      <c r="C10" s="126"/>
      <c r="D10" s="127">
        <v>1</v>
      </c>
      <c r="E10" s="128" t="s">
        <v>105</v>
      </c>
      <c r="F10" s="128" t="s">
        <v>115</v>
      </c>
      <c r="G10" s="129">
        <v>44571</v>
      </c>
      <c r="H10" s="129">
        <v>44575</v>
      </c>
      <c r="I10" s="128">
        <f t="shared" si="0"/>
        <v>4</v>
      </c>
      <c r="J10" s="129">
        <v>44571</v>
      </c>
      <c r="K10" s="129"/>
      <c r="L10" s="130">
        <f t="shared" si="1"/>
        <v>-44571</v>
      </c>
      <c r="M10" s="131">
        <v>0.5</v>
      </c>
      <c r="N10" s="5"/>
      <c r="O10" s="43"/>
    </row>
    <row r="11" spans="1:17" ht="21" x14ac:dyDescent="0.25">
      <c r="A11" s="9"/>
      <c r="B11" s="3"/>
      <c r="C11" s="37"/>
      <c r="D11" s="119">
        <v>2</v>
      </c>
      <c r="E11" s="120" t="s">
        <v>106</v>
      </c>
      <c r="F11" s="120" t="s">
        <v>120</v>
      </c>
      <c r="G11" s="121">
        <v>44577</v>
      </c>
      <c r="H11" s="121">
        <v>44591</v>
      </c>
      <c r="I11" s="120">
        <f t="shared" si="0"/>
        <v>14</v>
      </c>
      <c r="J11" s="121"/>
      <c r="K11" s="121"/>
      <c r="L11" s="122">
        <f t="shared" si="1"/>
        <v>0</v>
      </c>
      <c r="M11" s="123">
        <v>0</v>
      </c>
      <c r="N11" s="5"/>
      <c r="O11" s="43"/>
    </row>
    <row r="12" spans="1:17" ht="21" x14ac:dyDescent="0.25">
      <c r="A12" s="9"/>
      <c r="B12" s="3"/>
      <c r="C12" s="37"/>
      <c r="D12" s="119">
        <v>3</v>
      </c>
      <c r="E12" s="120" t="s">
        <v>71</v>
      </c>
      <c r="F12" s="120" t="s">
        <v>117</v>
      </c>
      <c r="G12" s="121">
        <v>44571</v>
      </c>
      <c r="H12" s="121">
        <v>44581</v>
      </c>
      <c r="I12" s="120">
        <f t="shared" si="0"/>
        <v>10</v>
      </c>
      <c r="J12" s="121"/>
      <c r="K12" s="121"/>
      <c r="L12" s="122">
        <f t="shared" si="1"/>
        <v>0</v>
      </c>
      <c r="M12" s="123">
        <v>0</v>
      </c>
      <c r="N12" s="5"/>
      <c r="O12" s="43"/>
    </row>
    <row r="13" spans="1:17" ht="21" x14ac:dyDescent="0.25">
      <c r="A13" s="9"/>
      <c r="B13" s="3"/>
      <c r="C13" s="37"/>
      <c r="D13" s="119">
        <v>4</v>
      </c>
      <c r="E13" s="120" t="s">
        <v>109</v>
      </c>
      <c r="F13" s="120" t="s">
        <v>115</v>
      </c>
      <c r="G13" s="121">
        <v>44575</v>
      </c>
      <c r="H13" s="121">
        <v>44580</v>
      </c>
      <c r="I13" s="120">
        <f t="shared" si="0"/>
        <v>5</v>
      </c>
      <c r="J13" s="121">
        <v>44575</v>
      </c>
      <c r="K13" s="121"/>
      <c r="L13" s="122">
        <f t="shared" si="1"/>
        <v>-44575</v>
      </c>
      <c r="M13" s="123">
        <v>0.3</v>
      </c>
      <c r="N13" s="5"/>
      <c r="O13" s="43"/>
    </row>
    <row r="14" spans="1:17" ht="21" x14ac:dyDescent="0.25">
      <c r="A14" s="9"/>
      <c r="B14" s="3"/>
      <c r="C14" s="37"/>
      <c r="D14" s="119">
        <v>5</v>
      </c>
      <c r="E14" s="120" t="s">
        <v>107</v>
      </c>
      <c r="F14" s="120" t="s">
        <v>118</v>
      </c>
      <c r="G14" s="121">
        <v>44571</v>
      </c>
      <c r="H14" s="121">
        <v>44576</v>
      </c>
      <c r="I14" s="120">
        <f t="shared" si="0"/>
        <v>5</v>
      </c>
      <c r="J14" s="121"/>
      <c r="K14" s="121"/>
      <c r="L14" s="122">
        <f t="shared" si="1"/>
        <v>0</v>
      </c>
      <c r="M14" s="123">
        <v>0</v>
      </c>
      <c r="N14" s="5"/>
      <c r="O14" s="43"/>
    </row>
    <row r="15" spans="1:17" ht="22" thickBot="1" x14ac:dyDescent="0.3">
      <c r="A15" s="9"/>
      <c r="B15" s="3"/>
      <c r="C15" s="132"/>
      <c r="D15" s="133">
        <v>6</v>
      </c>
      <c r="E15" s="134" t="s">
        <v>108</v>
      </c>
      <c r="F15" s="134" t="s">
        <v>118</v>
      </c>
      <c r="G15" s="135">
        <v>44576</v>
      </c>
      <c r="H15" s="135">
        <v>44582</v>
      </c>
      <c r="I15" s="134">
        <f t="shared" si="0"/>
        <v>6</v>
      </c>
      <c r="J15" s="135"/>
      <c r="K15" s="135"/>
      <c r="L15" s="136">
        <f t="shared" si="1"/>
        <v>0</v>
      </c>
      <c r="M15" s="137">
        <v>0</v>
      </c>
      <c r="N15" s="5"/>
      <c r="O15" s="43"/>
    </row>
    <row r="16" spans="1:17" ht="21" x14ac:dyDescent="0.25">
      <c r="A16" s="9"/>
      <c r="B16" s="3"/>
      <c r="C16" s="126"/>
      <c r="D16" s="143">
        <v>1</v>
      </c>
      <c r="E16" s="144" t="s">
        <v>109</v>
      </c>
      <c r="F16" s="144" t="s">
        <v>115</v>
      </c>
      <c r="G16" s="145">
        <v>44580</v>
      </c>
      <c r="H16" s="145">
        <v>44585</v>
      </c>
      <c r="I16" s="144">
        <f t="shared" ref="I16:I25" si="2">H16-G16</f>
        <v>5</v>
      </c>
      <c r="J16" s="145"/>
      <c r="K16" s="145"/>
      <c r="L16" s="146">
        <f t="shared" ref="L16:L25" si="3">K16-J16</f>
        <v>0</v>
      </c>
      <c r="M16" s="147">
        <v>0</v>
      </c>
      <c r="N16" s="5"/>
      <c r="O16" s="43"/>
    </row>
    <row r="17" spans="1:15" ht="21" x14ac:dyDescent="0.25">
      <c r="A17" s="9"/>
      <c r="B17" s="3"/>
      <c r="C17" s="37"/>
      <c r="D17" s="138">
        <v>2</v>
      </c>
      <c r="E17" s="139" t="s">
        <v>82</v>
      </c>
      <c r="F17" s="139" t="s">
        <v>119</v>
      </c>
      <c r="G17" s="140">
        <v>44571</v>
      </c>
      <c r="H17" s="140">
        <v>44574</v>
      </c>
      <c r="I17" s="139">
        <f t="shared" si="2"/>
        <v>3</v>
      </c>
      <c r="J17" s="140">
        <v>44571</v>
      </c>
      <c r="K17" s="140"/>
      <c r="L17" s="141">
        <f t="shared" si="3"/>
        <v>-44571</v>
      </c>
      <c r="M17" s="142">
        <v>0.6</v>
      </c>
      <c r="N17" s="5"/>
      <c r="O17" s="43"/>
    </row>
    <row r="18" spans="1:15" ht="21" x14ac:dyDescent="0.25">
      <c r="A18" s="9"/>
      <c r="B18" s="3"/>
      <c r="C18" s="37"/>
      <c r="D18" s="138">
        <v>3</v>
      </c>
      <c r="E18" s="139" t="s">
        <v>110</v>
      </c>
      <c r="F18" s="139" t="s">
        <v>119</v>
      </c>
      <c r="G18" s="140">
        <v>44574</v>
      </c>
      <c r="H18" s="140">
        <v>44580</v>
      </c>
      <c r="I18" s="139">
        <f t="shared" si="2"/>
        <v>6</v>
      </c>
      <c r="J18" s="140">
        <v>44571</v>
      </c>
      <c r="K18" s="140"/>
      <c r="L18" s="141">
        <f t="shared" si="3"/>
        <v>-44571</v>
      </c>
      <c r="M18" s="142">
        <v>0.2</v>
      </c>
      <c r="N18" s="5"/>
      <c r="O18" s="43"/>
    </row>
    <row r="19" spans="1:15" ht="21" x14ac:dyDescent="0.25">
      <c r="A19" s="9"/>
      <c r="B19" s="3"/>
      <c r="C19" s="37"/>
      <c r="D19" s="138">
        <v>4</v>
      </c>
      <c r="E19" s="139" t="s">
        <v>111</v>
      </c>
      <c r="F19" s="139" t="s">
        <v>117</v>
      </c>
      <c r="G19" s="140">
        <v>44581</v>
      </c>
      <c r="H19" s="140">
        <v>44591</v>
      </c>
      <c r="I19" s="139">
        <f t="shared" si="2"/>
        <v>10</v>
      </c>
      <c r="J19" s="140"/>
      <c r="K19" s="140"/>
      <c r="L19" s="141">
        <f t="shared" si="3"/>
        <v>0</v>
      </c>
      <c r="M19" s="142">
        <v>0</v>
      </c>
      <c r="N19" s="5"/>
      <c r="O19" s="43"/>
    </row>
    <row r="20" spans="1:15" ht="21" x14ac:dyDescent="0.25">
      <c r="A20" s="9"/>
      <c r="B20" s="3"/>
      <c r="C20" s="37"/>
      <c r="D20" s="138">
        <v>5</v>
      </c>
      <c r="E20" s="139" t="s">
        <v>101</v>
      </c>
      <c r="F20" s="139" t="s">
        <v>119</v>
      </c>
      <c r="G20" s="140">
        <v>44580</v>
      </c>
      <c r="H20" s="140">
        <v>44585</v>
      </c>
      <c r="I20" s="139">
        <f t="shared" si="2"/>
        <v>5</v>
      </c>
      <c r="J20" s="140">
        <v>44571</v>
      </c>
      <c r="K20" s="140"/>
      <c r="L20" s="141">
        <f t="shared" si="3"/>
        <v>-44571</v>
      </c>
      <c r="M20" s="142">
        <v>0.4</v>
      </c>
      <c r="N20" s="5"/>
      <c r="O20" s="43"/>
    </row>
    <row r="21" spans="1:15" ht="21" x14ac:dyDescent="0.25">
      <c r="A21" s="9"/>
      <c r="B21" s="3"/>
      <c r="C21" s="37"/>
      <c r="D21" s="138">
        <v>6</v>
      </c>
      <c r="E21" s="139" t="s">
        <v>112</v>
      </c>
      <c r="F21" s="139" t="s">
        <v>116</v>
      </c>
      <c r="G21" s="140">
        <v>44571</v>
      </c>
      <c r="H21" s="140">
        <v>44577</v>
      </c>
      <c r="I21" s="139">
        <f t="shared" si="2"/>
        <v>6</v>
      </c>
      <c r="J21" s="140">
        <v>44571</v>
      </c>
      <c r="K21" s="140"/>
      <c r="L21" s="141">
        <f t="shared" si="3"/>
        <v>-44571</v>
      </c>
      <c r="M21" s="142">
        <v>0.15</v>
      </c>
      <c r="N21" s="5"/>
      <c r="O21" s="43"/>
    </row>
    <row r="22" spans="1:15" ht="21" x14ac:dyDescent="0.25">
      <c r="A22" s="9"/>
      <c r="B22" s="3"/>
      <c r="C22" s="37"/>
      <c r="D22" s="138">
        <v>7</v>
      </c>
      <c r="E22" s="139" t="s">
        <v>106</v>
      </c>
      <c r="F22" s="139" t="s">
        <v>114</v>
      </c>
      <c r="G22" s="140">
        <v>44571</v>
      </c>
      <c r="H22" s="140">
        <v>44581</v>
      </c>
      <c r="I22" s="139">
        <f t="shared" si="2"/>
        <v>10</v>
      </c>
      <c r="J22" s="140">
        <v>44576</v>
      </c>
      <c r="K22" s="140"/>
      <c r="L22" s="141">
        <f t="shared" si="3"/>
        <v>-44576</v>
      </c>
      <c r="M22" s="142">
        <v>0</v>
      </c>
      <c r="N22" s="5"/>
      <c r="O22" s="43"/>
    </row>
    <row r="23" spans="1:15" ht="22" thickBot="1" x14ac:dyDescent="0.3">
      <c r="A23" s="9"/>
      <c r="B23" s="3"/>
      <c r="C23" s="132"/>
      <c r="D23" s="148">
        <v>8</v>
      </c>
      <c r="E23" s="149" t="s">
        <v>113</v>
      </c>
      <c r="F23" s="149" t="s">
        <v>118</v>
      </c>
      <c r="G23" s="150">
        <v>44582</v>
      </c>
      <c r="H23" s="150">
        <v>44587</v>
      </c>
      <c r="I23" s="149">
        <f t="shared" si="2"/>
        <v>5</v>
      </c>
      <c r="J23" s="150">
        <v>44571</v>
      </c>
      <c r="K23" s="150"/>
      <c r="L23" s="151">
        <f t="shared" si="3"/>
        <v>-44571</v>
      </c>
      <c r="M23" s="152">
        <v>0.6</v>
      </c>
      <c r="N23" s="5"/>
      <c r="O23" s="43"/>
    </row>
    <row r="24" spans="1:15" ht="21" x14ac:dyDescent="0.25">
      <c r="A24" s="9"/>
      <c r="B24" s="3"/>
      <c r="C24" s="126"/>
      <c r="D24" s="158">
        <v>1</v>
      </c>
      <c r="E24" s="159" t="s">
        <v>109</v>
      </c>
      <c r="F24" s="159" t="s">
        <v>84</v>
      </c>
      <c r="G24" s="160"/>
      <c r="H24" s="160"/>
      <c r="I24" s="159">
        <f t="shared" si="2"/>
        <v>0</v>
      </c>
      <c r="J24" s="160"/>
      <c r="K24" s="160"/>
      <c r="L24" s="161">
        <f t="shared" si="3"/>
        <v>0</v>
      </c>
      <c r="M24" s="162">
        <v>0</v>
      </c>
      <c r="N24" s="5"/>
      <c r="O24" s="43"/>
    </row>
    <row r="25" spans="1:15" ht="22" thickBot="1" x14ac:dyDescent="0.3">
      <c r="A25" s="9"/>
      <c r="B25" s="3"/>
      <c r="C25" s="132"/>
      <c r="D25" s="163">
        <v>2</v>
      </c>
      <c r="E25" s="164" t="s">
        <v>102</v>
      </c>
      <c r="F25" s="164" t="s">
        <v>84</v>
      </c>
      <c r="G25" s="165"/>
      <c r="H25" s="165"/>
      <c r="I25" s="164">
        <f t="shared" si="2"/>
        <v>0</v>
      </c>
      <c r="J25" s="165"/>
      <c r="K25" s="165"/>
      <c r="L25" s="166">
        <f t="shared" si="3"/>
        <v>0</v>
      </c>
      <c r="M25" s="167">
        <v>0</v>
      </c>
      <c r="N25" s="5"/>
      <c r="O25" s="43"/>
    </row>
    <row r="26" spans="1:15" ht="21" x14ac:dyDescent="0.25">
      <c r="A26" s="9"/>
      <c r="B26" s="3"/>
      <c r="C26" s="125">
        <v>6</v>
      </c>
      <c r="D26" s="153"/>
      <c r="E26" s="154" t="s">
        <v>17</v>
      </c>
      <c r="F26" s="154"/>
      <c r="G26" s="155">
        <v>44602</v>
      </c>
      <c r="H26" s="155">
        <v>44612</v>
      </c>
      <c r="I26" s="154">
        <f t="shared" si="0"/>
        <v>10</v>
      </c>
      <c r="J26" s="155"/>
      <c r="K26" s="155"/>
      <c r="L26" s="156">
        <f t="shared" si="1"/>
        <v>0</v>
      </c>
      <c r="M26" s="157">
        <v>0</v>
      </c>
      <c r="N26" s="5"/>
      <c r="O26" s="43"/>
    </row>
    <row r="27" spans="1:15" ht="21" x14ac:dyDescent="0.25">
      <c r="A27" s="9"/>
      <c r="B27" s="3"/>
      <c r="C27" s="37">
        <v>7</v>
      </c>
      <c r="D27" s="38"/>
      <c r="E27" s="39" t="s">
        <v>18</v>
      </c>
      <c r="F27" s="39"/>
      <c r="G27" s="40">
        <v>44612</v>
      </c>
      <c r="H27" s="40">
        <v>44617</v>
      </c>
      <c r="I27" s="39">
        <f t="shared" si="0"/>
        <v>5</v>
      </c>
      <c r="J27" s="40"/>
      <c r="K27" s="40"/>
      <c r="L27" s="41">
        <f t="shared" si="1"/>
        <v>0</v>
      </c>
      <c r="M27" s="42">
        <v>0</v>
      </c>
      <c r="N27" s="5"/>
      <c r="O27" s="43"/>
    </row>
    <row r="28" spans="1:15" ht="21" x14ac:dyDescent="0.25">
      <c r="A28" s="9"/>
      <c r="B28" s="3"/>
      <c r="C28" s="47">
        <v>8</v>
      </c>
      <c r="D28" s="48"/>
      <c r="E28" s="49" t="s">
        <v>85</v>
      </c>
      <c r="F28" s="49"/>
      <c r="G28" s="40">
        <v>44617</v>
      </c>
      <c r="H28" s="40">
        <v>44623</v>
      </c>
      <c r="I28" s="39">
        <f t="shared" si="0"/>
        <v>6</v>
      </c>
      <c r="J28" s="50"/>
      <c r="K28" s="50"/>
      <c r="L28" s="41">
        <f t="shared" si="1"/>
        <v>0</v>
      </c>
      <c r="M28" s="42">
        <v>0</v>
      </c>
      <c r="N28" s="5"/>
      <c r="O28" s="43"/>
    </row>
    <row r="29" spans="1:15" ht="21" x14ac:dyDescent="0.25">
      <c r="A29" s="9"/>
      <c r="B29" s="3"/>
      <c r="C29" s="47">
        <v>9</v>
      </c>
      <c r="D29" s="48"/>
      <c r="E29" s="49" t="s">
        <v>86</v>
      </c>
      <c r="F29" s="49"/>
      <c r="G29" s="40">
        <v>44623</v>
      </c>
      <c r="H29" s="40">
        <v>44630</v>
      </c>
      <c r="I29" s="39">
        <f t="shared" si="0"/>
        <v>7</v>
      </c>
      <c r="J29" s="50"/>
      <c r="K29" s="50"/>
      <c r="L29" s="41">
        <f>K29-J29</f>
        <v>0</v>
      </c>
      <c r="M29" s="51">
        <v>0</v>
      </c>
      <c r="N29" s="5"/>
      <c r="O29" s="43"/>
    </row>
    <row r="30" spans="1:15" ht="22" thickBot="1" x14ac:dyDescent="0.3">
      <c r="A30" s="9"/>
      <c r="B30" s="3"/>
      <c r="C30" s="52">
        <v>10</v>
      </c>
      <c r="D30" s="53"/>
      <c r="E30" s="54" t="s">
        <v>87</v>
      </c>
      <c r="F30" s="54"/>
      <c r="G30" s="55">
        <v>44265</v>
      </c>
      <c r="H30" s="55">
        <v>44275</v>
      </c>
      <c r="I30" s="54">
        <f t="shared" si="0"/>
        <v>10</v>
      </c>
      <c r="J30" s="55"/>
      <c r="K30" s="55"/>
      <c r="L30" s="56">
        <f>K30-J30</f>
        <v>0</v>
      </c>
      <c r="M30" s="57">
        <v>0</v>
      </c>
      <c r="N30" s="5"/>
      <c r="O30" s="43"/>
    </row>
    <row r="31" spans="1:15" ht="21" x14ac:dyDescent="0.25">
      <c r="A31" s="9"/>
      <c r="B31" s="3"/>
      <c r="C31" s="5"/>
      <c r="D31" s="5"/>
      <c r="E31" s="5"/>
      <c r="F31" s="5"/>
      <c r="G31" s="63"/>
      <c r="H31" s="63"/>
      <c r="I31" s="5">
        <f>SUM(I6:I30)</f>
        <v>182</v>
      </c>
      <c r="J31" s="63"/>
      <c r="K31" s="63"/>
      <c r="L31" s="5"/>
      <c r="M31" s="5"/>
      <c r="N31" s="5"/>
      <c r="O31" s="43"/>
    </row>
    <row r="32" spans="1:15" ht="21" x14ac:dyDescent="0.25">
      <c r="A32" s="9"/>
      <c r="B32" s="3"/>
      <c r="C32" s="5"/>
      <c r="D32" s="5"/>
      <c r="E32" s="5"/>
      <c r="F32" s="5"/>
      <c r="G32" s="63"/>
      <c r="H32" s="63" t="s">
        <v>11</v>
      </c>
      <c r="I32" s="64">
        <f>I31/30</f>
        <v>6.0666666666666664</v>
      </c>
      <c r="J32" s="63"/>
      <c r="K32" s="63"/>
      <c r="L32" s="63"/>
      <c r="M32" s="5"/>
      <c r="N32" s="5"/>
      <c r="O32" s="43"/>
    </row>
    <row r="33" spans="1:15" ht="17" thickBot="1" x14ac:dyDescent="0.25">
      <c r="A33" s="11"/>
      <c r="B33" s="12"/>
      <c r="C33" s="12"/>
      <c r="D33" s="12"/>
      <c r="E33" s="65"/>
      <c r="F33" s="65"/>
      <c r="G33" s="12"/>
      <c r="H33" s="65"/>
      <c r="I33" s="65"/>
      <c r="J33" s="65"/>
      <c r="K33" s="12"/>
      <c r="L33" s="12"/>
      <c r="M33" s="12"/>
      <c r="N33" s="12"/>
      <c r="O33" s="13"/>
    </row>
    <row r="34" spans="1:15" x14ac:dyDescent="0.2">
      <c r="E34" s="1"/>
      <c r="F34" s="1"/>
      <c r="H34" s="1"/>
      <c r="I34" s="1"/>
      <c r="J34" s="1"/>
    </row>
    <row r="35" spans="1:15" x14ac:dyDescent="0.2">
      <c r="E35" s="1"/>
      <c r="F35" s="1"/>
      <c r="H35" s="1"/>
      <c r="I35" s="1"/>
      <c r="J35" s="1"/>
    </row>
    <row r="36" spans="1:15" x14ac:dyDescent="0.2">
      <c r="E36" s="1"/>
      <c r="F36" s="1"/>
      <c r="H36" s="1"/>
      <c r="I36" s="1"/>
      <c r="J36" s="1"/>
    </row>
    <row r="37" spans="1:15" x14ac:dyDescent="0.2">
      <c r="E37" s="1"/>
      <c r="F37" s="1"/>
      <c r="H37" s="1"/>
      <c r="I37" s="1"/>
      <c r="J37" s="1"/>
    </row>
    <row r="38" spans="1:15" x14ac:dyDescent="0.2">
      <c r="E38" s="1"/>
      <c r="F38" s="1"/>
      <c r="H38" s="1"/>
      <c r="I38" s="1"/>
      <c r="J38" s="1"/>
    </row>
    <row r="39" spans="1:15" x14ac:dyDescent="0.2">
      <c r="E39" s="1"/>
      <c r="F39" s="1"/>
      <c r="H39" s="1"/>
      <c r="I39" s="1"/>
      <c r="J39" s="1"/>
    </row>
    <row r="40" spans="1:15" x14ac:dyDescent="0.2">
      <c r="E40" s="1"/>
      <c r="F40" s="1"/>
      <c r="H40" s="1"/>
      <c r="I40" s="1"/>
      <c r="J40" s="1"/>
    </row>
    <row r="63" spans="4:6" ht="24" x14ac:dyDescent="0.3">
      <c r="D63" s="62"/>
      <c r="E63" s="62"/>
      <c r="F63" s="62"/>
    </row>
    <row r="64" spans="4:6" ht="24" x14ac:dyDescent="0.3">
      <c r="D64" s="62"/>
      <c r="E64" s="62"/>
      <c r="F64" s="62"/>
    </row>
    <row r="65" spans="4:13" ht="24" x14ac:dyDescent="0.3">
      <c r="D65" s="62"/>
      <c r="E65" s="62"/>
      <c r="F65" s="62"/>
    </row>
    <row r="66" spans="4:13" ht="24" x14ac:dyDescent="0.3">
      <c r="D66" s="62"/>
      <c r="E66" s="62"/>
      <c r="F66" s="62"/>
    </row>
    <row r="67" spans="4:13" ht="24" x14ac:dyDescent="0.3">
      <c r="D67" s="62"/>
      <c r="E67" s="62"/>
      <c r="F67" s="62"/>
    </row>
    <row r="68" spans="4:13" ht="24" x14ac:dyDescent="0.3">
      <c r="D68" s="62"/>
      <c r="E68" s="62"/>
      <c r="F68" s="62"/>
    </row>
    <row r="69" spans="4:13" ht="21" x14ac:dyDescent="0.25">
      <c r="K69" s="61"/>
      <c r="L69" s="61"/>
      <c r="M69" s="61"/>
    </row>
    <row r="70" spans="4:13" ht="21" x14ac:dyDescent="0.25">
      <c r="K70" s="61"/>
      <c r="L70" s="61"/>
      <c r="M70" s="61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4">
    <mergeCell ref="A1:B2"/>
    <mergeCell ref="C1:L2"/>
    <mergeCell ref="N1:O1"/>
    <mergeCell ref="N2:O2"/>
  </mergeCells>
  <printOptions horizontalCentered="1"/>
  <pageMargins left="0.25" right="0.25" top="0.75" bottom="0.75" header="0.3" footer="0.3"/>
  <pageSetup paperSize="9" scale="60" orientation="landscape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73B61-0E46-A84A-A372-524248523343}">
  <dimension ref="A1:AN12"/>
  <sheetViews>
    <sheetView showGridLines="0" view="pageBreakPreview" zoomScaleNormal="110" zoomScaleSheetLayoutView="100" workbookViewId="0">
      <selection activeCell="K21" sqref="K21"/>
    </sheetView>
  </sheetViews>
  <sheetFormatPr baseColWidth="10" defaultRowHeight="16" x14ac:dyDescent="0.2"/>
  <cols>
    <col min="3" max="3" width="12.33203125" customWidth="1"/>
    <col min="4" max="35" width="4.83203125" customWidth="1"/>
    <col min="36" max="36" width="15.5" bestFit="1" customWidth="1"/>
    <col min="37" max="38" width="9.5" customWidth="1"/>
  </cols>
  <sheetData>
    <row r="1" spans="1:40" ht="43" customHeight="1" x14ac:dyDescent="0.25">
      <c r="A1" s="268" t="s">
        <v>41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  <c r="Y1" s="273"/>
      <c r="Z1" s="273"/>
      <c r="AA1" s="273"/>
      <c r="AB1" s="273"/>
      <c r="AC1" s="273"/>
      <c r="AD1" s="273"/>
      <c r="AE1" s="273"/>
      <c r="AF1" s="273"/>
      <c r="AG1" s="273"/>
      <c r="AH1" s="273"/>
      <c r="AI1" s="273"/>
      <c r="AJ1" s="19" t="s">
        <v>21</v>
      </c>
      <c r="AK1" s="278">
        <v>44555</v>
      </c>
      <c r="AL1" s="279"/>
      <c r="AM1" s="61"/>
      <c r="AN1" s="61"/>
    </row>
    <row r="2" spans="1:40" ht="43" customHeight="1" thickBot="1" x14ac:dyDescent="0.3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6"/>
      <c r="N2" s="276"/>
      <c r="O2" s="276"/>
      <c r="P2" s="276"/>
      <c r="Q2" s="276"/>
      <c r="R2" s="276"/>
      <c r="S2" s="276"/>
      <c r="T2" s="276"/>
      <c r="U2" s="276"/>
      <c r="V2" s="276"/>
      <c r="W2" s="276"/>
      <c r="X2" s="276"/>
      <c r="Y2" s="276"/>
      <c r="Z2" s="276"/>
      <c r="AA2" s="276"/>
      <c r="AB2" s="276"/>
      <c r="AC2" s="276"/>
      <c r="AD2" s="276"/>
      <c r="AE2" s="276"/>
      <c r="AF2" s="276"/>
      <c r="AG2" s="276"/>
      <c r="AH2" s="276"/>
      <c r="AI2" s="276"/>
      <c r="AJ2" s="20" t="s">
        <v>20</v>
      </c>
      <c r="AK2" s="280">
        <f ca="1">NOW()</f>
        <v>44575.899132638886</v>
      </c>
      <c r="AL2" s="281"/>
      <c r="AM2" s="61"/>
      <c r="AN2" s="61"/>
    </row>
    <row r="5" spans="1:40" ht="27" thickBot="1" x14ac:dyDescent="0.35">
      <c r="B5" s="172" t="s">
        <v>0</v>
      </c>
      <c r="C5" s="172" t="s">
        <v>121</v>
      </c>
      <c r="D5" s="173">
        <v>10</v>
      </c>
      <c r="E5" s="173">
        <v>11</v>
      </c>
      <c r="F5" s="173">
        <v>12</v>
      </c>
      <c r="G5" s="173">
        <v>13</v>
      </c>
      <c r="H5" s="173">
        <v>14</v>
      </c>
      <c r="I5" s="173">
        <v>15</v>
      </c>
      <c r="J5" s="173">
        <v>16</v>
      </c>
      <c r="K5" s="173">
        <v>17</v>
      </c>
      <c r="L5" s="173">
        <v>18</v>
      </c>
      <c r="M5" s="173">
        <v>19</v>
      </c>
      <c r="N5" s="173">
        <v>20</v>
      </c>
      <c r="O5" s="173">
        <v>21</v>
      </c>
      <c r="P5" s="173">
        <v>22</v>
      </c>
      <c r="Q5" s="173">
        <v>23</v>
      </c>
      <c r="R5" s="173">
        <v>24</v>
      </c>
      <c r="S5" s="173">
        <v>25</v>
      </c>
      <c r="T5" s="173">
        <v>26</v>
      </c>
      <c r="U5" s="173">
        <v>27</v>
      </c>
      <c r="V5" s="173">
        <v>28</v>
      </c>
      <c r="W5" s="173">
        <v>29</v>
      </c>
      <c r="X5" s="173">
        <v>30</v>
      </c>
      <c r="Y5" s="174">
        <v>31</v>
      </c>
      <c r="Z5" s="194">
        <v>1</v>
      </c>
      <c r="AA5" s="194">
        <v>2</v>
      </c>
      <c r="AB5" s="194">
        <v>3</v>
      </c>
      <c r="AC5" s="194">
        <v>4</v>
      </c>
      <c r="AD5" s="194">
        <v>5</v>
      </c>
      <c r="AE5" s="194">
        <v>6</v>
      </c>
      <c r="AF5" s="194">
        <v>7</v>
      </c>
      <c r="AG5" s="194">
        <v>8</v>
      </c>
      <c r="AH5" s="194">
        <v>9</v>
      </c>
      <c r="AI5" s="195">
        <v>10</v>
      </c>
    </row>
    <row r="6" spans="1:40" ht="27" thickBot="1" x14ac:dyDescent="0.35">
      <c r="B6" s="170">
        <v>1</v>
      </c>
      <c r="C6" s="171" t="s">
        <v>116</v>
      </c>
      <c r="D6" s="177"/>
      <c r="E6" s="175"/>
      <c r="F6" s="175" t="s">
        <v>112</v>
      </c>
      <c r="G6" s="175"/>
      <c r="H6" s="175"/>
      <c r="I6" s="182"/>
      <c r="J6" s="183"/>
      <c r="K6" s="184"/>
      <c r="L6" s="185"/>
      <c r="M6" s="185"/>
      <c r="N6" s="185"/>
      <c r="O6" s="185"/>
      <c r="P6" s="185" t="s">
        <v>106</v>
      </c>
      <c r="Q6" s="185"/>
      <c r="R6" s="185"/>
      <c r="S6" s="176"/>
      <c r="T6" s="176"/>
      <c r="U6" s="176"/>
      <c r="V6" s="176"/>
      <c r="W6" s="176"/>
      <c r="X6" s="180"/>
      <c r="Y6" s="181"/>
      <c r="Z6" s="282" t="s">
        <v>123</v>
      </c>
      <c r="AA6" s="283"/>
      <c r="AB6" s="283"/>
      <c r="AC6" s="283"/>
      <c r="AD6" s="283"/>
      <c r="AE6" s="283"/>
      <c r="AF6" s="283"/>
      <c r="AG6" s="283"/>
      <c r="AH6" s="283"/>
      <c r="AI6" s="284"/>
    </row>
    <row r="7" spans="1:40" ht="27" thickBot="1" x14ac:dyDescent="0.35">
      <c r="B7" s="168">
        <v>2</v>
      </c>
      <c r="C7" s="169" t="s">
        <v>115</v>
      </c>
      <c r="D7" s="179"/>
      <c r="E7" s="176"/>
      <c r="F7" s="176" t="s">
        <v>105</v>
      </c>
      <c r="G7" s="176"/>
      <c r="H7" s="176"/>
      <c r="I7" s="179"/>
      <c r="J7" s="176" t="s">
        <v>109</v>
      </c>
      <c r="K7" s="176"/>
      <c r="L7" s="176"/>
      <c r="M7" s="176"/>
      <c r="N7" s="177"/>
      <c r="O7" s="175" t="s">
        <v>109</v>
      </c>
      <c r="P7" s="175"/>
      <c r="Q7" s="175"/>
      <c r="R7" s="178"/>
      <c r="S7" s="190"/>
      <c r="T7" s="191" t="s">
        <v>124</v>
      </c>
      <c r="U7" s="191"/>
      <c r="V7" s="191"/>
      <c r="W7" s="192"/>
      <c r="X7" s="181"/>
      <c r="Y7" s="181"/>
      <c r="Z7" s="285"/>
      <c r="AA7" s="286"/>
      <c r="AB7" s="286"/>
      <c r="AC7" s="286"/>
      <c r="AD7" s="286"/>
      <c r="AE7" s="286"/>
      <c r="AF7" s="286"/>
      <c r="AG7" s="286"/>
      <c r="AH7" s="286"/>
      <c r="AI7" s="287"/>
    </row>
    <row r="8" spans="1:40" ht="27" thickBot="1" x14ac:dyDescent="0.35">
      <c r="B8" s="168">
        <v>3</v>
      </c>
      <c r="C8" s="169" t="s">
        <v>114</v>
      </c>
      <c r="D8" s="177"/>
      <c r="E8" s="175"/>
      <c r="F8" s="175"/>
      <c r="G8" s="175"/>
      <c r="H8" s="175" t="s">
        <v>106</v>
      </c>
      <c r="I8" s="186"/>
      <c r="J8" s="186"/>
      <c r="K8" s="186"/>
      <c r="L8" s="186"/>
      <c r="M8" s="186"/>
      <c r="N8" s="187"/>
      <c r="O8" s="188"/>
      <c r="P8" s="189"/>
      <c r="Q8" s="189"/>
      <c r="R8" s="189" t="s">
        <v>106</v>
      </c>
      <c r="S8" s="176"/>
      <c r="T8" s="176"/>
      <c r="U8" s="176"/>
      <c r="V8" s="176"/>
      <c r="W8" s="176"/>
      <c r="X8" s="180"/>
      <c r="Y8" s="181"/>
      <c r="Z8" s="285"/>
      <c r="AA8" s="286"/>
      <c r="AB8" s="286"/>
      <c r="AC8" s="286"/>
      <c r="AD8" s="286"/>
      <c r="AE8" s="286"/>
      <c r="AF8" s="286"/>
      <c r="AG8" s="286"/>
      <c r="AH8" s="286"/>
      <c r="AI8" s="287"/>
    </row>
    <row r="9" spans="1:40" ht="27" thickBot="1" x14ac:dyDescent="0.35">
      <c r="B9" s="168">
        <v>4</v>
      </c>
      <c r="C9" s="169" t="s">
        <v>117</v>
      </c>
      <c r="D9" s="177"/>
      <c r="E9" s="175"/>
      <c r="F9" s="175"/>
      <c r="G9" s="175"/>
      <c r="H9" s="175" t="s">
        <v>111</v>
      </c>
      <c r="I9" s="175"/>
      <c r="J9" s="175"/>
      <c r="K9" s="175"/>
      <c r="L9" s="175"/>
      <c r="M9" s="175"/>
      <c r="N9" s="178"/>
      <c r="O9" s="179"/>
      <c r="P9" s="176"/>
      <c r="Q9" s="176"/>
      <c r="R9" s="176"/>
      <c r="S9" s="176" t="s">
        <v>111</v>
      </c>
      <c r="T9" s="176"/>
      <c r="U9" s="176"/>
      <c r="V9" s="176"/>
      <c r="W9" s="176"/>
      <c r="X9" s="180"/>
      <c r="Y9" s="181"/>
      <c r="Z9" s="285"/>
      <c r="AA9" s="286"/>
      <c r="AB9" s="286"/>
      <c r="AC9" s="286"/>
      <c r="AD9" s="286"/>
      <c r="AE9" s="286"/>
      <c r="AF9" s="286"/>
      <c r="AG9" s="286"/>
      <c r="AH9" s="286"/>
      <c r="AI9" s="287"/>
    </row>
    <row r="10" spans="1:40" ht="27" thickBot="1" x14ac:dyDescent="0.35">
      <c r="B10" s="168">
        <v>5</v>
      </c>
      <c r="C10" s="169" t="s">
        <v>119</v>
      </c>
      <c r="D10" s="177"/>
      <c r="E10" s="175" t="s">
        <v>82</v>
      </c>
      <c r="F10" s="175"/>
      <c r="G10" s="178"/>
      <c r="H10" s="177"/>
      <c r="I10" s="175" t="s">
        <v>110</v>
      </c>
      <c r="J10" s="178"/>
      <c r="K10" s="175"/>
      <c r="L10" s="175"/>
      <c r="M10" s="178"/>
      <c r="N10" s="177"/>
      <c r="O10" s="175" t="s">
        <v>101</v>
      </c>
      <c r="P10" s="182"/>
      <c r="Q10" s="182"/>
      <c r="R10" s="183"/>
      <c r="S10" s="190"/>
      <c r="T10" s="191" t="s">
        <v>122</v>
      </c>
      <c r="U10" s="191"/>
      <c r="V10" s="191"/>
      <c r="W10" s="192"/>
      <c r="X10" s="181"/>
      <c r="Y10" s="181"/>
      <c r="Z10" s="285"/>
      <c r="AA10" s="286"/>
      <c r="AB10" s="286"/>
      <c r="AC10" s="286"/>
      <c r="AD10" s="286"/>
      <c r="AE10" s="286"/>
      <c r="AF10" s="286"/>
      <c r="AG10" s="286"/>
      <c r="AH10" s="286"/>
      <c r="AI10" s="287"/>
    </row>
    <row r="11" spans="1:40" ht="27" thickBot="1" x14ac:dyDescent="0.35">
      <c r="B11" s="168">
        <v>6</v>
      </c>
      <c r="C11" s="169" t="s">
        <v>118</v>
      </c>
      <c r="D11" s="179"/>
      <c r="E11" s="176"/>
      <c r="F11" s="176" t="s">
        <v>107</v>
      </c>
      <c r="G11" s="176"/>
      <c r="H11" s="176"/>
      <c r="I11" s="180"/>
      <c r="J11" s="179"/>
      <c r="K11" s="176" t="s">
        <v>108</v>
      </c>
      <c r="L11" s="176"/>
      <c r="M11" s="176"/>
      <c r="N11" s="176"/>
      <c r="O11" s="180"/>
      <c r="P11" s="177"/>
      <c r="Q11" s="175" t="s">
        <v>113</v>
      </c>
      <c r="R11" s="175"/>
      <c r="S11" s="186"/>
      <c r="T11" s="187"/>
      <c r="U11" s="190"/>
      <c r="V11" s="191" t="s">
        <v>125</v>
      </c>
      <c r="W11" s="191"/>
      <c r="X11" s="191"/>
      <c r="Y11" s="192"/>
      <c r="Z11" s="285"/>
      <c r="AA11" s="286"/>
      <c r="AB11" s="286"/>
      <c r="AC11" s="286"/>
      <c r="AD11" s="286"/>
      <c r="AE11" s="286"/>
      <c r="AF11" s="286"/>
      <c r="AG11" s="286"/>
      <c r="AH11" s="286"/>
      <c r="AI11" s="287"/>
    </row>
    <row r="12" spans="1:40" ht="27" thickBot="1" x14ac:dyDescent="0.35">
      <c r="B12" s="170">
        <v>7</v>
      </c>
      <c r="C12" s="170" t="s">
        <v>84</v>
      </c>
      <c r="D12" s="193"/>
      <c r="E12" s="193"/>
      <c r="F12" s="193"/>
      <c r="G12" s="193"/>
      <c r="H12" s="193"/>
      <c r="I12" s="193"/>
      <c r="J12" s="193"/>
      <c r="K12" s="193"/>
      <c r="L12" s="193"/>
      <c r="M12" s="193"/>
      <c r="N12" s="193"/>
      <c r="O12" s="193"/>
      <c r="P12" s="193"/>
      <c r="Q12" s="193"/>
      <c r="R12" s="193"/>
      <c r="S12" s="193"/>
      <c r="T12" s="193"/>
      <c r="U12" s="193"/>
      <c r="V12" s="193"/>
      <c r="W12" s="193"/>
      <c r="X12" s="193"/>
      <c r="Y12" s="193"/>
      <c r="Z12" s="288"/>
      <c r="AA12" s="289"/>
      <c r="AB12" s="289"/>
      <c r="AC12" s="289"/>
      <c r="AD12" s="289"/>
      <c r="AE12" s="289"/>
      <c r="AF12" s="289"/>
      <c r="AG12" s="289"/>
      <c r="AH12" s="289"/>
      <c r="AI12" s="290"/>
    </row>
  </sheetData>
  <mergeCells count="5">
    <mergeCell ref="A1:B2"/>
    <mergeCell ref="C1:AI2"/>
    <mergeCell ref="AK1:AL1"/>
    <mergeCell ref="AK2:AL2"/>
    <mergeCell ref="Z6:AI12"/>
  </mergeCells>
  <phoneticPr fontId="32" type="noConversion"/>
  <pageMargins left="0.25" right="0.25" top="0.75" bottom="0.75" header="0.3" footer="0.3"/>
  <pageSetup paperSize="9" scale="60" orientation="landscape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5DF9C-CC46-9247-929E-039DCF1DD5E4}">
  <sheetPr>
    <pageSetUpPr fitToPage="1"/>
  </sheetPr>
  <dimension ref="A1:V106"/>
  <sheetViews>
    <sheetView showGridLines="0" view="pageBreakPreview" zoomScaleNormal="100" zoomScaleSheetLayoutView="100" workbookViewId="0">
      <selection sqref="A1:B2"/>
    </sheetView>
  </sheetViews>
  <sheetFormatPr baseColWidth="10" defaultRowHeight="16" x14ac:dyDescent="0.2"/>
  <cols>
    <col min="13" max="13" width="10.83203125" customWidth="1"/>
    <col min="14" max="14" width="12" customWidth="1"/>
    <col min="19" max="19" width="14.83203125" customWidth="1"/>
    <col min="20" max="20" width="13.83203125" customWidth="1"/>
  </cols>
  <sheetData>
    <row r="1" spans="1:21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1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44575.899132638886</v>
      </c>
      <c r="U2" s="281"/>
    </row>
    <row r="3" spans="1:21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1" ht="21" customHeight="1" x14ac:dyDescent="0.25">
      <c r="A4" s="17" t="s">
        <v>23</v>
      </c>
      <c r="B4" s="3"/>
      <c r="C4" s="3"/>
      <c r="D4" s="291" t="s">
        <v>100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1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1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1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1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1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1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1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1" x14ac:dyDescent="0.2">
      <c r="A12" s="105"/>
      <c r="B12" s="106"/>
      <c r="C12" s="106"/>
      <c r="D12" s="106"/>
      <c r="E12" s="106"/>
      <c r="F12" s="106"/>
      <c r="G12" s="106"/>
      <c r="H12" s="106"/>
      <c r="I12" s="108"/>
      <c r="J12" s="108"/>
      <c r="K12" s="108"/>
      <c r="L12" s="108"/>
      <c r="M12" s="108"/>
      <c r="N12" s="108"/>
      <c r="O12" s="108"/>
      <c r="P12" s="109"/>
      <c r="Q12" s="109"/>
      <c r="R12" s="109"/>
      <c r="S12" s="109"/>
      <c r="T12" s="109"/>
      <c r="U12" s="110"/>
    </row>
    <row r="13" spans="1:21" s="2" customFormat="1" ht="29" x14ac:dyDescent="0.35">
      <c r="A13" s="196"/>
      <c r="B13" s="197"/>
      <c r="C13" s="306" t="s">
        <v>89</v>
      </c>
      <c r="D13" s="307"/>
      <c r="E13" s="307"/>
      <c r="F13" s="197"/>
      <c r="G13" s="106"/>
      <c r="H13" s="106"/>
      <c r="I13" s="108"/>
      <c r="J13" s="207"/>
      <c r="K13" s="316" t="s">
        <v>101</v>
      </c>
      <c r="L13" s="316"/>
      <c r="M13" s="316"/>
      <c r="N13" s="108"/>
      <c r="O13" s="108"/>
      <c r="P13" s="109"/>
      <c r="Q13" s="306" t="s">
        <v>178</v>
      </c>
      <c r="R13" s="307"/>
      <c r="S13" s="307"/>
      <c r="T13" s="111"/>
      <c r="U13" s="112"/>
    </row>
    <row r="14" spans="1:21" x14ac:dyDescent="0.2">
      <c r="A14" s="105"/>
      <c r="B14" s="106"/>
      <c r="C14" s="106"/>
      <c r="D14" s="106"/>
      <c r="E14" s="106"/>
      <c r="F14" s="106"/>
      <c r="G14" s="106"/>
      <c r="H14" s="106"/>
      <c r="I14" s="108"/>
      <c r="J14" s="108"/>
      <c r="K14" s="108"/>
      <c r="L14" s="108"/>
      <c r="M14" s="108"/>
      <c r="N14" s="108"/>
      <c r="O14" s="108"/>
      <c r="P14" s="109"/>
      <c r="Q14" s="109"/>
      <c r="R14" s="109"/>
      <c r="S14" s="109"/>
      <c r="T14" s="109"/>
      <c r="U14" s="110"/>
    </row>
    <row r="15" spans="1:21" x14ac:dyDescent="0.2">
      <c r="A15" s="105"/>
      <c r="B15" s="106"/>
      <c r="C15" s="106"/>
      <c r="D15" s="106"/>
      <c r="E15" s="106"/>
      <c r="F15" s="106"/>
      <c r="G15" s="106"/>
      <c r="H15" s="106"/>
      <c r="I15" s="108"/>
      <c r="J15" s="108"/>
      <c r="K15" s="108"/>
      <c r="L15" s="108"/>
      <c r="M15" s="108"/>
      <c r="N15" s="108"/>
      <c r="O15" s="108"/>
      <c r="P15" s="109"/>
      <c r="Q15" s="109"/>
      <c r="R15" s="109"/>
      <c r="S15" s="109"/>
      <c r="T15" s="109"/>
      <c r="U15" s="110"/>
    </row>
    <row r="16" spans="1:21" x14ac:dyDescent="0.2">
      <c r="A16" s="105"/>
      <c r="B16" s="106"/>
      <c r="C16" s="106"/>
      <c r="D16" s="106"/>
      <c r="E16" s="106"/>
      <c r="F16" s="106"/>
      <c r="G16" s="106"/>
      <c r="H16" s="106"/>
      <c r="I16" s="108"/>
      <c r="J16" s="108"/>
      <c r="K16" s="108"/>
      <c r="L16" s="108"/>
      <c r="M16" s="108"/>
      <c r="N16" s="108"/>
      <c r="O16" s="108"/>
      <c r="P16" s="109"/>
      <c r="Q16" s="109"/>
      <c r="R16" s="109"/>
      <c r="S16" s="109"/>
      <c r="T16" s="109"/>
      <c r="U16" s="110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8"/>
      <c r="J17" s="108"/>
      <c r="K17" s="108"/>
      <c r="L17" s="108"/>
      <c r="M17" s="108"/>
      <c r="N17" s="108"/>
      <c r="O17" s="108"/>
      <c r="P17" s="109"/>
      <c r="Q17" s="109"/>
      <c r="R17" s="109"/>
      <c r="S17" s="109"/>
      <c r="T17" s="109"/>
      <c r="U17" s="110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8"/>
      <c r="J18" s="108"/>
      <c r="K18" s="108"/>
      <c r="L18" s="108"/>
      <c r="M18" s="108"/>
      <c r="N18" s="108"/>
      <c r="O18" s="108"/>
      <c r="P18" s="109"/>
      <c r="Q18" s="109"/>
      <c r="R18" s="109"/>
      <c r="S18" s="109"/>
      <c r="T18" s="109"/>
      <c r="U18" s="110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8"/>
      <c r="J19" s="108"/>
      <c r="K19" s="108"/>
      <c r="L19" s="108"/>
      <c r="M19" s="108"/>
      <c r="N19" s="108"/>
      <c r="O19" s="108"/>
      <c r="P19" s="109"/>
      <c r="Q19" s="109"/>
      <c r="R19" s="109"/>
      <c r="S19" s="109"/>
      <c r="T19" s="109"/>
      <c r="U19" s="110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8"/>
      <c r="J20" s="108"/>
      <c r="K20" s="108"/>
      <c r="L20" s="108"/>
      <c r="M20" s="108"/>
      <c r="N20" s="108"/>
      <c r="O20" s="108"/>
      <c r="P20" s="109"/>
      <c r="Q20" s="109"/>
      <c r="R20" s="109"/>
      <c r="S20" s="109"/>
      <c r="T20" s="109"/>
      <c r="U20" s="110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8"/>
      <c r="J21" s="108"/>
      <c r="K21" s="108"/>
      <c r="L21" s="108"/>
      <c r="M21" s="108"/>
      <c r="N21" s="108"/>
      <c r="O21" s="108"/>
      <c r="P21" s="109"/>
      <c r="Q21" s="109"/>
      <c r="R21" s="109"/>
      <c r="S21" s="109"/>
      <c r="T21" s="109"/>
      <c r="U21" s="110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8"/>
      <c r="J22" s="108"/>
      <c r="K22" s="108"/>
      <c r="L22" s="108"/>
      <c r="M22" s="108"/>
      <c r="N22" s="108"/>
      <c r="O22" s="108"/>
      <c r="P22" s="109"/>
      <c r="Q22" s="109"/>
      <c r="R22" s="109"/>
      <c r="S22" s="109"/>
      <c r="T22" s="109"/>
      <c r="U22" s="110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8"/>
      <c r="J23" s="108"/>
      <c r="K23" s="108"/>
      <c r="L23" s="108"/>
      <c r="M23" s="108"/>
      <c r="N23" s="108"/>
      <c r="O23" s="108"/>
      <c r="P23" s="109"/>
      <c r="Q23" s="109"/>
      <c r="R23" s="109"/>
      <c r="S23" s="109"/>
      <c r="T23" s="109"/>
      <c r="U23" s="110"/>
    </row>
    <row r="24" spans="1:22" ht="24" x14ac:dyDescent="0.3">
      <c r="A24" s="105"/>
      <c r="B24" s="106"/>
      <c r="C24" s="113" t="s">
        <v>0</v>
      </c>
      <c r="D24" s="106"/>
      <c r="E24" s="113" t="s">
        <v>103</v>
      </c>
      <c r="F24" s="106"/>
      <c r="G24" s="106"/>
      <c r="H24" s="106"/>
      <c r="I24" s="108"/>
      <c r="J24" s="108"/>
      <c r="K24" s="108"/>
      <c r="L24" s="108"/>
      <c r="M24" s="108"/>
      <c r="N24" s="108"/>
      <c r="O24" s="108"/>
      <c r="P24" s="109"/>
      <c r="Q24" s="109"/>
      <c r="R24" s="109"/>
      <c r="S24" s="109"/>
      <c r="T24" s="109"/>
      <c r="U24" s="110"/>
    </row>
    <row r="25" spans="1:22" x14ac:dyDescent="0.2">
      <c r="A25" s="105"/>
      <c r="B25" s="106"/>
      <c r="C25" s="106"/>
      <c r="D25" s="106"/>
      <c r="E25" s="106"/>
      <c r="F25" s="106"/>
      <c r="G25" s="106"/>
      <c r="H25" s="106"/>
      <c r="I25" s="108"/>
      <c r="J25" s="108"/>
      <c r="K25" s="108"/>
      <c r="L25" s="108"/>
      <c r="M25" s="108"/>
      <c r="N25" s="108"/>
      <c r="O25" s="108"/>
      <c r="P25" s="109"/>
      <c r="Q25" s="109"/>
      <c r="R25" s="109"/>
      <c r="S25" s="109"/>
      <c r="T25" s="109"/>
      <c r="U25" s="110"/>
    </row>
    <row r="26" spans="1:22" x14ac:dyDescent="0.2">
      <c r="A26" s="105"/>
      <c r="B26" s="106"/>
      <c r="C26" s="106"/>
      <c r="D26" s="106"/>
      <c r="E26" s="106"/>
      <c r="F26" s="106"/>
      <c r="G26" s="106"/>
      <c r="H26" s="106"/>
      <c r="I26" s="108"/>
      <c r="J26" s="108"/>
      <c r="K26" s="108"/>
      <c r="L26" s="108"/>
      <c r="M26" s="108"/>
      <c r="N26" s="108"/>
      <c r="O26" s="108"/>
      <c r="P26" s="109"/>
      <c r="Q26" s="109"/>
      <c r="R26" s="109"/>
      <c r="S26" s="109"/>
      <c r="T26" s="109"/>
      <c r="U26" s="110"/>
    </row>
    <row r="27" spans="1:22" x14ac:dyDescent="0.2">
      <c r="A27" s="105"/>
      <c r="B27" s="106"/>
      <c r="C27" s="106"/>
      <c r="D27" s="106"/>
      <c r="E27" s="106"/>
      <c r="F27" s="106"/>
      <c r="G27" s="106"/>
      <c r="H27" s="106"/>
      <c r="I27" s="108"/>
      <c r="J27" s="108"/>
      <c r="K27" s="108"/>
      <c r="L27" s="108"/>
      <c r="M27" s="108"/>
      <c r="N27" s="108"/>
      <c r="O27" s="108"/>
      <c r="P27" s="109"/>
      <c r="Q27" s="109"/>
      <c r="R27" s="109"/>
      <c r="S27" s="109"/>
      <c r="T27" s="109"/>
      <c r="U27" s="110"/>
    </row>
    <row r="28" spans="1:22" x14ac:dyDescent="0.2">
      <c r="A28" s="105"/>
      <c r="B28" s="106"/>
      <c r="C28" s="106"/>
      <c r="D28" s="106"/>
      <c r="E28" s="106"/>
      <c r="F28" s="106"/>
      <c r="G28" s="106"/>
      <c r="H28" s="106"/>
      <c r="I28" s="108"/>
      <c r="J28" s="108"/>
      <c r="K28" s="108"/>
      <c r="L28" s="108"/>
      <c r="M28" s="108"/>
      <c r="N28" s="108"/>
      <c r="O28" s="108"/>
      <c r="P28" s="109"/>
      <c r="Q28" s="109"/>
      <c r="R28" s="109"/>
      <c r="S28" s="109"/>
      <c r="T28" s="109"/>
      <c r="U28" s="110"/>
    </row>
    <row r="29" spans="1:22" x14ac:dyDescent="0.2">
      <c r="A29" s="105"/>
      <c r="B29" s="106"/>
      <c r="C29" s="106"/>
      <c r="D29" s="106"/>
      <c r="E29" s="106"/>
      <c r="F29" s="106"/>
      <c r="G29" s="106"/>
      <c r="H29" s="106"/>
      <c r="I29" s="108"/>
      <c r="J29" s="108"/>
      <c r="K29" s="108"/>
      <c r="L29" s="108"/>
      <c r="M29" s="108"/>
      <c r="N29" s="108"/>
      <c r="O29" s="108"/>
      <c r="P29" s="109"/>
      <c r="Q29" s="109"/>
      <c r="R29" s="109"/>
      <c r="S29" s="109"/>
      <c r="T29" s="109"/>
      <c r="U29" s="110"/>
    </row>
    <row r="30" spans="1:22" x14ac:dyDescent="0.2">
      <c r="A30" s="105"/>
      <c r="B30" s="106"/>
      <c r="C30" s="106"/>
      <c r="D30" s="106"/>
      <c r="E30" s="106"/>
      <c r="F30" s="106"/>
      <c r="G30" s="106"/>
      <c r="H30" s="106"/>
      <c r="I30" s="108"/>
      <c r="J30" s="108"/>
      <c r="K30" s="108"/>
      <c r="L30" s="108"/>
      <c r="M30" s="108"/>
      <c r="N30" s="108"/>
      <c r="O30" s="108"/>
      <c r="P30" s="109"/>
      <c r="Q30" s="109"/>
      <c r="R30" s="109"/>
      <c r="S30" s="109"/>
      <c r="T30" s="109"/>
      <c r="U30" s="110"/>
    </row>
    <row r="31" spans="1:22" x14ac:dyDescent="0.2">
      <c r="A31" s="105"/>
      <c r="B31" s="106"/>
      <c r="C31" s="106"/>
      <c r="D31" s="106"/>
      <c r="E31" s="106"/>
      <c r="F31" s="106"/>
      <c r="G31" s="106"/>
      <c r="H31" s="106"/>
      <c r="I31" s="108"/>
      <c r="J31" s="108"/>
      <c r="K31" s="108"/>
      <c r="L31" s="108"/>
      <c r="M31" s="108"/>
      <c r="N31" s="108"/>
      <c r="O31" s="108"/>
      <c r="P31" s="109"/>
      <c r="Q31" s="109"/>
      <c r="R31" s="109"/>
      <c r="S31" s="109"/>
      <c r="T31" s="109"/>
      <c r="U31" s="110"/>
    </row>
    <row r="32" spans="1:22" ht="17" customHeight="1" x14ac:dyDescent="0.2">
      <c r="A32" s="105"/>
      <c r="B32" s="106"/>
      <c r="C32" s="106"/>
      <c r="D32" s="106"/>
      <c r="E32" s="106"/>
      <c r="F32" s="106"/>
      <c r="G32" s="106"/>
      <c r="H32" s="106"/>
      <c r="I32" s="108"/>
      <c r="J32" s="108"/>
      <c r="K32" s="108"/>
      <c r="L32" s="108"/>
      <c r="M32" s="108"/>
      <c r="N32" s="108"/>
      <c r="O32" s="108"/>
      <c r="P32" s="109"/>
      <c r="Q32" s="109"/>
      <c r="R32" s="109"/>
      <c r="S32" s="109"/>
      <c r="T32" s="109"/>
      <c r="U32" s="110"/>
    </row>
    <row r="33" spans="1:21" ht="20" customHeight="1" x14ac:dyDescent="0.3">
      <c r="A33" s="105"/>
      <c r="B33" s="106"/>
      <c r="C33" s="106"/>
      <c r="D33" s="106"/>
      <c r="E33" s="106"/>
      <c r="F33" s="106"/>
      <c r="G33" s="106"/>
      <c r="H33" s="106"/>
      <c r="I33" s="108"/>
      <c r="J33" s="108"/>
      <c r="K33" s="108"/>
      <c r="L33" s="199"/>
      <c r="M33" s="114" t="s">
        <v>103</v>
      </c>
      <c r="N33" s="114"/>
      <c r="O33" s="108"/>
      <c r="P33" s="109"/>
      <c r="Q33" s="109"/>
      <c r="R33" s="109"/>
      <c r="S33" s="109"/>
      <c r="T33" s="109"/>
      <c r="U33" s="110"/>
    </row>
    <row r="34" spans="1:21" ht="16" customHeight="1" x14ac:dyDescent="0.2">
      <c r="A34" s="105"/>
      <c r="B34" s="106"/>
      <c r="C34" s="106"/>
      <c r="D34" s="106"/>
      <c r="E34" s="106"/>
      <c r="F34" s="106"/>
      <c r="G34" s="106"/>
      <c r="H34" s="106"/>
      <c r="I34" s="108"/>
      <c r="J34" s="108"/>
      <c r="K34" s="200" t="s">
        <v>0</v>
      </c>
      <c r="L34" s="108"/>
      <c r="M34" s="108"/>
      <c r="N34" s="108"/>
      <c r="O34" s="108"/>
      <c r="P34" s="109"/>
      <c r="Q34" s="109"/>
      <c r="R34" s="109"/>
      <c r="S34" s="109"/>
      <c r="T34" s="109"/>
      <c r="U34" s="110"/>
    </row>
    <row r="35" spans="1:21" ht="16" customHeight="1" x14ac:dyDescent="0.2">
      <c r="A35" s="105"/>
      <c r="B35" s="106"/>
      <c r="C35" s="106"/>
      <c r="D35" s="106"/>
      <c r="E35" s="106"/>
      <c r="F35" s="106"/>
      <c r="G35" s="106"/>
      <c r="H35" s="106"/>
      <c r="I35" s="108"/>
      <c r="J35" s="108"/>
      <c r="K35" s="108"/>
      <c r="L35" s="108"/>
      <c r="M35" s="108"/>
      <c r="N35" s="108"/>
      <c r="O35" s="108"/>
      <c r="P35" s="109"/>
      <c r="Q35" s="109"/>
      <c r="R35" s="109"/>
      <c r="S35" s="109"/>
      <c r="T35" s="109"/>
      <c r="U35" s="110"/>
    </row>
    <row r="36" spans="1:21" ht="16" customHeight="1" x14ac:dyDescent="0.2">
      <c r="A36" s="105"/>
      <c r="B36" s="106"/>
      <c r="C36" s="106"/>
      <c r="D36" s="106"/>
      <c r="E36" s="106"/>
      <c r="F36" s="106"/>
      <c r="G36" s="106"/>
      <c r="H36" s="106"/>
      <c r="I36" s="108"/>
      <c r="J36" s="108"/>
      <c r="K36" s="108"/>
      <c r="L36" s="108"/>
      <c r="M36" s="108"/>
      <c r="N36" s="108"/>
      <c r="O36" s="108"/>
      <c r="P36" s="109"/>
      <c r="Q36" s="109"/>
      <c r="R36" s="109"/>
      <c r="S36" s="109"/>
      <c r="T36" s="109"/>
      <c r="U36" s="110"/>
    </row>
    <row r="37" spans="1:21" ht="17" customHeight="1" x14ac:dyDescent="0.2">
      <c r="A37" s="105"/>
      <c r="B37" s="106"/>
      <c r="C37" s="106"/>
      <c r="D37" s="106"/>
      <c r="E37" s="106"/>
      <c r="F37" s="106"/>
      <c r="G37" s="106"/>
      <c r="H37" s="106"/>
      <c r="I37" s="108"/>
      <c r="J37" s="108"/>
      <c r="K37" s="108"/>
      <c r="L37" s="108"/>
      <c r="M37" s="108"/>
      <c r="N37" s="108"/>
      <c r="O37" s="108"/>
      <c r="P37" s="109"/>
      <c r="Q37" s="109"/>
      <c r="R37" s="109"/>
      <c r="S37" s="109"/>
      <c r="T37" s="109"/>
      <c r="U37" s="110"/>
    </row>
    <row r="38" spans="1:21" ht="24" x14ac:dyDescent="0.3">
      <c r="A38" s="105"/>
      <c r="B38" s="106"/>
      <c r="C38" s="106"/>
      <c r="D38" s="106"/>
      <c r="E38" s="106"/>
      <c r="F38" s="106"/>
      <c r="G38" s="106"/>
      <c r="H38" s="106"/>
      <c r="I38" s="108"/>
      <c r="J38" s="108"/>
      <c r="K38" s="108"/>
      <c r="L38" s="199"/>
      <c r="M38" s="114"/>
      <c r="N38" s="199"/>
      <c r="O38" s="108"/>
      <c r="P38" s="109"/>
      <c r="Q38" s="109"/>
      <c r="R38" s="109"/>
      <c r="S38" s="109"/>
      <c r="T38" s="109"/>
      <c r="U38" s="110"/>
    </row>
    <row r="39" spans="1:21" x14ac:dyDescent="0.2">
      <c r="A39" s="105"/>
      <c r="B39" s="106"/>
      <c r="C39" s="106"/>
      <c r="D39" s="106"/>
      <c r="E39" s="106"/>
      <c r="F39" s="106"/>
      <c r="G39" s="106"/>
      <c r="H39" s="106"/>
      <c r="I39" s="108"/>
      <c r="J39" s="108"/>
      <c r="K39" s="108"/>
      <c r="L39" s="108"/>
      <c r="M39" s="108"/>
      <c r="N39" s="108"/>
      <c r="O39" s="108"/>
      <c r="P39" s="109"/>
      <c r="Q39" s="109"/>
      <c r="R39" s="109"/>
      <c r="S39" s="109"/>
      <c r="T39" s="109"/>
      <c r="U39" s="110"/>
    </row>
    <row r="40" spans="1:21" x14ac:dyDescent="0.2">
      <c r="A40" s="105"/>
      <c r="B40" s="106"/>
      <c r="C40" s="106"/>
      <c r="D40" s="106"/>
      <c r="E40" s="106"/>
      <c r="F40" s="106"/>
      <c r="G40" s="106"/>
      <c r="H40" s="106"/>
      <c r="I40" s="108"/>
      <c r="J40" s="108"/>
      <c r="K40" s="108"/>
      <c r="L40" s="108"/>
      <c r="M40" s="108"/>
      <c r="N40" s="108"/>
      <c r="O40" s="108"/>
      <c r="P40" s="109"/>
      <c r="Q40" s="109"/>
      <c r="R40" s="109"/>
      <c r="S40" s="109"/>
      <c r="T40" s="109"/>
      <c r="U40" s="110"/>
    </row>
    <row r="41" spans="1:21" x14ac:dyDescent="0.2">
      <c r="A41" s="105"/>
      <c r="B41" s="106"/>
      <c r="C41" s="106"/>
      <c r="D41" s="106"/>
      <c r="E41" s="106"/>
      <c r="F41" s="106"/>
      <c r="G41" s="106"/>
      <c r="H41" s="106"/>
      <c r="I41" s="108"/>
      <c r="J41" s="108"/>
      <c r="K41" s="108"/>
      <c r="L41" s="108"/>
      <c r="M41" s="108"/>
      <c r="N41" s="108"/>
      <c r="O41" s="108"/>
      <c r="P41" s="109"/>
      <c r="Q41" s="109"/>
      <c r="R41" s="109"/>
      <c r="S41" s="109"/>
      <c r="T41" s="109"/>
      <c r="U41" s="110"/>
    </row>
    <row r="42" spans="1:21" ht="24" x14ac:dyDescent="0.3">
      <c r="A42" s="105"/>
      <c r="B42" s="106"/>
      <c r="C42" s="106"/>
      <c r="D42" s="106"/>
      <c r="E42" s="106"/>
      <c r="F42" s="106"/>
      <c r="G42" s="106"/>
      <c r="H42" s="106"/>
      <c r="I42" s="108"/>
      <c r="J42" s="108"/>
      <c r="K42" s="108"/>
      <c r="L42" s="108"/>
      <c r="M42" s="114" t="s">
        <v>127</v>
      </c>
      <c r="N42" s="108"/>
      <c r="O42" s="108"/>
      <c r="P42" s="109"/>
      <c r="Q42" s="109"/>
      <c r="R42" s="109"/>
      <c r="S42" s="109"/>
      <c r="T42" s="109"/>
      <c r="U42" s="110"/>
    </row>
    <row r="43" spans="1:21" x14ac:dyDescent="0.2">
      <c r="A43" s="105"/>
      <c r="B43" s="106"/>
      <c r="C43" s="106"/>
      <c r="D43" s="106"/>
      <c r="E43" s="106"/>
      <c r="F43" s="106"/>
      <c r="G43" s="106"/>
      <c r="H43" s="106"/>
      <c r="I43" s="108"/>
      <c r="J43" s="108"/>
      <c r="K43" s="108"/>
      <c r="L43" s="108"/>
      <c r="M43" s="108"/>
      <c r="N43" s="108"/>
      <c r="O43" s="108"/>
      <c r="P43" s="109"/>
      <c r="Q43" s="109"/>
      <c r="R43" s="109"/>
      <c r="S43" s="109"/>
      <c r="T43" s="109"/>
      <c r="U43" s="110"/>
    </row>
    <row r="44" spans="1:21" x14ac:dyDescent="0.2">
      <c r="A44" s="105"/>
      <c r="B44" s="106"/>
      <c r="C44" s="106"/>
      <c r="D44" s="106"/>
      <c r="E44" s="106"/>
      <c r="F44" s="106"/>
      <c r="G44" s="106"/>
      <c r="H44" s="106"/>
      <c r="I44" s="108"/>
      <c r="J44" s="108"/>
      <c r="K44" s="108"/>
      <c r="L44" s="108"/>
      <c r="M44" s="108"/>
      <c r="N44" s="108"/>
      <c r="O44" s="108"/>
      <c r="P44" s="109"/>
      <c r="Q44" s="109"/>
      <c r="R44" s="109"/>
      <c r="S44" s="109"/>
      <c r="T44" s="109"/>
      <c r="U44" s="110"/>
    </row>
    <row r="45" spans="1:21" ht="24" x14ac:dyDescent="0.3">
      <c r="A45" s="105"/>
      <c r="B45" s="106"/>
      <c r="C45" s="106"/>
      <c r="D45" s="106"/>
      <c r="E45" s="106"/>
      <c r="F45" s="106"/>
      <c r="G45" s="106"/>
      <c r="H45" s="106"/>
      <c r="I45" s="108"/>
      <c r="J45" s="108"/>
      <c r="K45" s="108"/>
      <c r="L45" s="108"/>
      <c r="M45" s="108"/>
      <c r="N45" s="114" t="s">
        <v>128</v>
      </c>
      <c r="O45" s="108"/>
      <c r="P45" s="109"/>
      <c r="Q45" s="109"/>
      <c r="R45" s="109"/>
      <c r="S45" s="109"/>
      <c r="T45" s="109"/>
      <c r="U45" s="110"/>
    </row>
    <row r="46" spans="1:21" x14ac:dyDescent="0.2">
      <c r="A46" s="105"/>
      <c r="B46" s="106"/>
      <c r="C46" s="106"/>
      <c r="D46" s="106"/>
      <c r="E46" s="106"/>
      <c r="F46" s="106"/>
      <c r="G46" s="106"/>
      <c r="H46" s="106"/>
      <c r="I46" s="108"/>
      <c r="J46" s="108"/>
      <c r="K46" s="108"/>
      <c r="L46" s="108"/>
      <c r="M46" s="108"/>
      <c r="N46" s="108"/>
      <c r="O46" s="108"/>
      <c r="P46" s="109"/>
      <c r="Q46" s="109"/>
      <c r="R46" s="109"/>
      <c r="S46" s="109"/>
      <c r="T46" s="109"/>
      <c r="U46" s="110"/>
    </row>
    <row r="47" spans="1:21" x14ac:dyDescent="0.2">
      <c r="A47" s="105"/>
      <c r="B47" s="106"/>
      <c r="C47" s="106"/>
      <c r="D47" s="106"/>
      <c r="E47" s="106"/>
      <c r="F47" s="106"/>
      <c r="G47" s="106"/>
      <c r="H47" s="106"/>
      <c r="I47" s="108"/>
      <c r="J47" s="108"/>
      <c r="K47" s="108"/>
      <c r="L47" s="108"/>
      <c r="M47" s="108"/>
      <c r="N47" s="199"/>
      <c r="O47" s="108"/>
      <c r="P47" s="109"/>
      <c r="Q47" s="109"/>
      <c r="R47" s="109"/>
      <c r="S47" s="109"/>
      <c r="T47" s="109"/>
      <c r="U47" s="110"/>
    </row>
    <row r="48" spans="1:21" x14ac:dyDescent="0.2">
      <c r="A48" s="105"/>
      <c r="B48" s="106"/>
      <c r="C48" s="106"/>
      <c r="D48" s="106"/>
      <c r="E48" s="106"/>
      <c r="F48" s="106"/>
      <c r="G48" s="106"/>
      <c r="H48" s="106"/>
      <c r="I48" s="108"/>
      <c r="J48" s="108"/>
      <c r="K48" s="108"/>
      <c r="L48" s="108"/>
      <c r="M48" s="108"/>
      <c r="N48" s="108"/>
      <c r="O48" s="108"/>
      <c r="P48" s="109"/>
      <c r="Q48" s="109"/>
      <c r="R48" s="109"/>
      <c r="S48" s="109"/>
      <c r="T48" s="109"/>
      <c r="U48" s="110"/>
    </row>
    <row r="49" spans="1:21" ht="24" x14ac:dyDescent="0.3">
      <c r="A49" s="105"/>
      <c r="B49" s="106"/>
      <c r="C49" s="113" t="s">
        <v>0</v>
      </c>
      <c r="D49" s="106"/>
      <c r="E49" s="113" t="s">
        <v>103</v>
      </c>
      <c r="F49" s="106"/>
      <c r="G49" s="106"/>
      <c r="H49" s="106"/>
      <c r="I49" s="108"/>
      <c r="J49" s="108"/>
      <c r="K49" s="108"/>
      <c r="L49" s="108"/>
      <c r="M49" s="108"/>
      <c r="N49" s="108"/>
      <c r="O49" s="108"/>
      <c r="P49" s="109"/>
      <c r="Q49" s="109"/>
      <c r="R49" s="109"/>
      <c r="S49" s="109"/>
      <c r="T49" s="109"/>
      <c r="U49" s="110"/>
    </row>
    <row r="50" spans="1:21" x14ac:dyDescent="0.2">
      <c r="A50" s="105"/>
      <c r="B50" s="106"/>
      <c r="C50" s="106"/>
      <c r="D50" s="106"/>
      <c r="E50" s="106"/>
      <c r="F50" s="106"/>
      <c r="G50" s="106"/>
      <c r="H50" s="106"/>
      <c r="I50" s="108"/>
      <c r="J50" s="108"/>
      <c r="K50" s="108"/>
      <c r="L50" s="108"/>
      <c r="M50" s="108"/>
      <c r="N50" s="108"/>
      <c r="O50" s="108"/>
      <c r="P50" s="109"/>
      <c r="Q50" s="109"/>
      <c r="R50" s="109"/>
      <c r="S50" s="109"/>
      <c r="T50" s="109"/>
      <c r="U50" s="110"/>
    </row>
    <row r="51" spans="1:21" x14ac:dyDescent="0.2">
      <c r="A51" s="105"/>
      <c r="B51" s="106"/>
      <c r="C51" s="106"/>
      <c r="D51" s="106"/>
      <c r="E51" s="106"/>
      <c r="F51" s="106"/>
      <c r="G51" s="106"/>
      <c r="H51" s="106"/>
      <c r="I51" s="108"/>
      <c r="J51" s="108"/>
      <c r="K51" s="108"/>
      <c r="L51" s="108"/>
      <c r="M51" s="108"/>
      <c r="N51" s="108"/>
      <c r="O51" s="108"/>
      <c r="P51" s="109"/>
      <c r="Q51" s="109"/>
      <c r="R51" s="109"/>
      <c r="S51" s="109"/>
      <c r="T51" s="109"/>
      <c r="U51" s="110"/>
    </row>
    <row r="52" spans="1:21" x14ac:dyDescent="0.2">
      <c r="A52" s="105"/>
      <c r="B52" s="106"/>
      <c r="C52" s="106"/>
      <c r="D52" s="106"/>
      <c r="E52" s="106"/>
      <c r="F52" s="106"/>
      <c r="G52" s="106"/>
      <c r="H52" s="106"/>
      <c r="I52" s="108"/>
      <c r="J52" s="108"/>
      <c r="K52" s="108"/>
      <c r="L52" s="108"/>
      <c r="M52" s="108"/>
      <c r="N52" s="108"/>
      <c r="O52" s="108"/>
      <c r="P52" s="109"/>
      <c r="Q52" s="109"/>
      <c r="R52" s="109"/>
      <c r="S52" s="109"/>
      <c r="T52" s="109"/>
      <c r="U52" s="110"/>
    </row>
    <row r="53" spans="1:21" x14ac:dyDescent="0.2">
      <c r="A53" s="105"/>
      <c r="B53" s="106"/>
      <c r="C53" s="106"/>
      <c r="D53" s="106"/>
      <c r="E53" s="106"/>
      <c r="F53" s="106"/>
      <c r="G53" s="106"/>
      <c r="H53" s="106"/>
      <c r="I53" s="108"/>
      <c r="J53" s="108"/>
      <c r="K53" s="108"/>
      <c r="L53" s="108"/>
      <c r="M53" s="108"/>
      <c r="N53" s="108"/>
      <c r="O53" s="108"/>
      <c r="P53" s="109"/>
      <c r="Q53" s="109"/>
      <c r="R53" s="109"/>
      <c r="S53" s="109"/>
      <c r="T53" s="109"/>
      <c r="U53" s="110"/>
    </row>
    <row r="54" spans="1:21" x14ac:dyDescent="0.2">
      <c r="A54" s="105"/>
      <c r="B54" s="106"/>
      <c r="C54" s="106"/>
      <c r="D54" s="106"/>
      <c r="E54" s="106"/>
      <c r="F54" s="106"/>
      <c r="G54" s="106"/>
      <c r="H54" s="106"/>
      <c r="I54" s="108"/>
      <c r="J54" s="108"/>
      <c r="K54" s="108"/>
      <c r="L54" s="108"/>
      <c r="M54" s="108"/>
      <c r="N54" s="108"/>
      <c r="O54" s="108"/>
      <c r="P54" s="109"/>
      <c r="Q54" s="109"/>
      <c r="R54" s="109"/>
      <c r="S54" s="109"/>
      <c r="T54" s="109"/>
      <c r="U54" s="110"/>
    </row>
    <row r="55" spans="1:21" x14ac:dyDescent="0.2">
      <c r="A55" s="105"/>
      <c r="B55" s="106"/>
      <c r="C55" s="106"/>
      <c r="D55" s="106"/>
      <c r="E55" s="106"/>
      <c r="F55" s="106"/>
      <c r="G55" s="106"/>
      <c r="H55" s="106"/>
      <c r="I55" s="108"/>
      <c r="J55" s="108"/>
      <c r="K55" s="108"/>
      <c r="L55" s="108"/>
      <c r="M55" s="108"/>
      <c r="N55" s="108"/>
      <c r="O55" s="108"/>
      <c r="P55" s="109"/>
      <c r="Q55" s="109"/>
      <c r="R55" s="109"/>
      <c r="S55" s="109"/>
      <c r="T55" s="109"/>
      <c r="U55" s="110"/>
    </row>
    <row r="56" spans="1:21" x14ac:dyDescent="0.2">
      <c r="A56" s="105"/>
      <c r="B56" s="106"/>
      <c r="C56" s="106"/>
      <c r="D56" s="106"/>
      <c r="E56" s="106"/>
      <c r="F56" s="106"/>
      <c r="G56" s="106"/>
      <c r="H56" s="106"/>
      <c r="I56" s="108"/>
      <c r="J56" s="108"/>
      <c r="K56" s="108"/>
      <c r="L56" s="108"/>
      <c r="M56" s="108"/>
      <c r="N56" s="108"/>
      <c r="O56" s="108"/>
      <c r="P56" s="109"/>
      <c r="Q56" s="109"/>
      <c r="R56" s="109"/>
      <c r="S56" s="109"/>
      <c r="T56" s="109"/>
      <c r="U56" s="110"/>
    </row>
    <row r="57" spans="1:21" ht="17" thickBot="1" x14ac:dyDescent="0.25">
      <c r="A57" s="198"/>
      <c r="B57" s="116"/>
      <c r="C57" s="116"/>
      <c r="D57" s="116"/>
      <c r="E57" s="116"/>
      <c r="F57" s="116"/>
      <c r="G57" s="116"/>
      <c r="H57" s="116"/>
      <c r="I57" s="115"/>
      <c r="J57" s="115"/>
      <c r="K57" s="115"/>
      <c r="L57" s="115"/>
      <c r="M57" s="115"/>
      <c r="N57" s="115"/>
      <c r="O57" s="115"/>
      <c r="P57" s="117"/>
      <c r="Q57" s="117"/>
      <c r="R57" s="117"/>
      <c r="S57" s="117"/>
      <c r="T57" s="117"/>
      <c r="U57" s="118"/>
    </row>
    <row r="101" spans="3:4" x14ac:dyDescent="0.2">
      <c r="D101" t="s">
        <v>404</v>
      </c>
    </row>
    <row r="104" spans="3:4" x14ac:dyDescent="0.2">
      <c r="C104" t="s">
        <v>217</v>
      </c>
      <c r="D104" t="s">
        <v>218</v>
      </c>
    </row>
    <row r="105" spans="3:4" x14ac:dyDescent="0.2">
      <c r="C105" t="s">
        <v>405</v>
      </c>
      <c r="D105" t="s">
        <v>406</v>
      </c>
    </row>
    <row r="106" spans="3:4" x14ac:dyDescent="0.2">
      <c r="C106" t="s">
        <v>407</v>
      </c>
      <c r="D106" t="s">
        <v>408</v>
      </c>
    </row>
  </sheetData>
  <mergeCells count="9">
    <mergeCell ref="T1:U1"/>
    <mergeCell ref="T2:U2"/>
    <mergeCell ref="D4:T8"/>
    <mergeCell ref="A10:U11"/>
    <mergeCell ref="C13:E13"/>
    <mergeCell ref="Q13:S13"/>
    <mergeCell ref="A1:B2"/>
    <mergeCell ref="C1:R2"/>
    <mergeCell ref="K13:M13"/>
  </mergeCells>
  <printOptions horizontalCentered="1"/>
  <pageMargins left="0.25" right="0.25" top="0.75" bottom="0.75" header="0.3" footer="0.3"/>
  <pageSetup paperSize="9" scale="51" orientation="landscape" horizontalDpi="0" verticalDpi="0"/>
  <colBreaks count="1" manualBreakCount="1">
    <brk id="21" max="1048575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AE3C9-EE8B-FD48-B606-399295CAFE1D}">
  <dimension ref="A1:Q291"/>
  <sheetViews>
    <sheetView showGridLines="0" view="pageBreakPreview" topLeftCell="A250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43" customHeight="1" x14ac:dyDescent="0.2">
      <c r="A1" s="268" t="s">
        <v>22</v>
      </c>
      <c r="B1" s="269"/>
      <c r="C1" s="272" t="str">
        <f>Cover!A31</f>
        <v>Food_Lab</v>
      </c>
      <c r="D1" s="273"/>
      <c r="E1" s="273"/>
      <c r="F1" s="273"/>
      <c r="G1" s="273"/>
      <c r="H1" s="273"/>
      <c r="I1" s="273"/>
      <c r="J1" s="273"/>
      <c r="K1" s="273"/>
      <c r="L1" s="273"/>
      <c r="M1" s="274"/>
      <c r="N1" s="274"/>
      <c r="O1" s="19" t="s">
        <v>21</v>
      </c>
      <c r="P1" s="278">
        <v>44555</v>
      </c>
      <c r="Q1" s="279"/>
    </row>
    <row r="2" spans="1:17" ht="43" customHeight="1" thickBot="1" x14ac:dyDescent="0.25">
      <c r="A2" s="270"/>
      <c r="B2" s="271"/>
      <c r="C2" s="275"/>
      <c r="D2" s="276"/>
      <c r="E2" s="276"/>
      <c r="F2" s="276"/>
      <c r="G2" s="276"/>
      <c r="H2" s="276"/>
      <c r="I2" s="276"/>
      <c r="J2" s="276"/>
      <c r="K2" s="276"/>
      <c r="L2" s="276"/>
      <c r="M2" s="277"/>
      <c r="N2" s="277"/>
      <c r="O2" s="20" t="s">
        <v>20</v>
      </c>
      <c r="P2" s="280">
        <f ca="1">NOW()</f>
        <v>44575.899132638886</v>
      </c>
      <c r="Q2" s="281"/>
    </row>
    <row r="3" spans="1:17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ht="21" x14ac:dyDescent="0.25">
      <c r="A4" s="17" t="s">
        <v>23</v>
      </c>
      <c r="B4" s="3"/>
      <c r="C4" s="3"/>
      <c r="D4" s="319" t="s">
        <v>64</v>
      </c>
      <c r="E4" s="320"/>
      <c r="F4" s="320"/>
      <c r="G4" s="320"/>
      <c r="H4" s="320"/>
      <c r="I4" s="320"/>
      <c r="J4" s="320"/>
      <c r="K4" s="320"/>
      <c r="L4" s="320"/>
      <c r="M4" s="320"/>
      <c r="N4" s="320"/>
      <c r="O4" s="320"/>
      <c r="P4" s="321"/>
      <c r="Q4" s="10"/>
    </row>
    <row r="5" spans="1:17" x14ac:dyDescent="0.2">
      <c r="A5" s="18" t="s">
        <v>24</v>
      </c>
      <c r="B5" s="3"/>
      <c r="C5" s="3"/>
      <c r="D5" s="322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4"/>
      <c r="Q5" s="10"/>
    </row>
    <row r="6" spans="1:17" x14ac:dyDescent="0.2">
      <c r="A6" s="9"/>
      <c r="B6" s="3"/>
      <c r="C6" s="3"/>
      <c r="D6" s="322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4"/>
      <c r="Q6" s="10"/>
    </row>
    <row r="7" spans="1:17" x14ac:dyDescent="0.2">
      <c r="A7" s="9"/>
      <c r="B7" s="3"/>
      <c r="C7" s="3"/>
      <c r="D7" s="322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4"/>
      <c r="Q7" s="10"/>
    </row>
    <row r="8" spans="1:17" ht="17" thickBot="1" x14ac:dyDescent="0.25">
      <c r="A8" s="9"/>
      <c r="B8" s="3"/>
      <c r="C8" s="3"/>
      <c r="D8" s="325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7"/>
      <c r="Q8" s="10"/>
    </row>
    <row r="9" spans="1:17" ht="17" thickBot="1" x14ac:dyDescent="0.25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17" t="s">
        <v>25</v>
      </c>
      <c r="B10" s="274"/>
      <c r="C10" s="274"/>
      <c r="D10" s="274"/>
      <c r="E10" s="274"/>
      <c r="F10" s="274"/>
      <c r="G10" s="274"/>
      <c r="H10" s="274"/>
      <c r="I10" s="274"/>
      <c r="J10" s="274"/>
      <c r="K10" s="274"/>
      <c r="L10" s="274"/>
      <c r="M10" s="274"/>
      <c r="N10" s="274"/>
      <c r="O10" s="274"/>
      <c r="P10" s="274"/>
      <c r="Q10" s="318"/>
    </row>
    <row r="11" spans="1:17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5"/>
    </row>
    <row r="12" spans="1:17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s="2" customFormat="1" ht="24" x14ac:dyDescent="0.3">
      <c r="A13" s="15"/>
      <c r="B13" s="44" t="s">
        <v>26</v>
      </c>
      <c r="C13" s="58" t="s">
        <v>90</v>
      </c>
      <c r="D13" s="44"/>
      <c r="E13" s="14"/>
      <c r="F13" s="14"/>
      <c r="G13" s="3"/>
      <c r="H13" s="3"/>
      <c r="I13" s="3"/>
      <c r="J13" s="3"/>
      <c r="K13" s="3"/>
      <c r="L13" s="3"/>
      <c r="M13" s="3"/>
      <c r="N13" s="3"/>
      <c r="O13" s="5" t="s">
        <v>91</v>
      </c>
      <c r="P13" s="14"/>
      <c r="Q13" s="22"/>
    </row>
    <row r="14" spans="1:17" ht="24" x14ac:dyDescent="0.3">
      <c r="A14" s="9"/>
      <c r="B14" s="44"/>
      <c r="C14" s="44"/>
      <c r="D14" s="44"/>
      <c r="E14" s="3"/>
      <c r="F14" s="3"/>
      <c r="G14" s="3"/>
      <c r="H14" s="3"/>
      <c r="I14" s="3"/>
      <c r="J14" s="3"/>
      <c r="K14" s="3"/>
      <c r="L14" s="3"/>
      <c r="M14" s="3"/>
      <c r="N14" s="44"/>
      <c r="O14" s="44"/>
      <c r="P14" s="44"/>
      <c r="Q14" s="10"/>
    </row>
    <row r="15" spans="1:17" ht="24" x14ac:dyDescent="0.3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90"/>
      <c r="O15" s="23" t="s">
        <v>93</v>
      </c>
      <c r="P15" s="44"/>
      <c r="Q15" s="10"/>
    </row>
    <row r="16" spans="1:17" ht="24" x14ac:dyDescent="0.3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91"/>
      <c r="O16" s="23" t="s">
        <v>92</v>
      </c>
      <c r="P16" s="44"/>
      <c r="Q16" s="10"/>
    </row>
    <row r="17" spans="1:17" ht="24" x14ac:dyDescent="0.3">
      <c r="A17" s="9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92"/>
      <c r="O17" s="93" t="s">
        <v>94</v>
      </c>
      <c r="P17" s="44"/>
      <c r="Q17" s="10"/>
    </row>
    <row r="18" spans="1:17" ht="24" x14ac:dyDescent="0.3">
      <c r="A18" s="9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44"/>
      <c r="O18" s="44"/>
      <c r="P18" s="44"/>
      <c r="Q18" s="10"/>
    </row>
    <row r="19" spans="1:17" x14ac:dyDescent="0.2">
      <c r="A19" s="9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7"/>
    </row>
    <row r="21" spans="1:17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7"/>
    </row>
    <row r="22" spans="1:17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7"/>
    </row>
    <row r="23" spans="1:17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7"/>
    </row>
    <row r="24" spans="1:17" x14ac:dyDescent="0.2">
      <c r="A24" s="105"/>
      <c r="B24" s="106"/>
      <c r="C24" s="106"/>
      <c r="D24" s="106"/>
      <c r="E24" s="106"/>
      <c r="F24" s="106"/>
      <c r="G24" s="106"/>
      <c r="H24" s="106"/>
      <c r="I24" s="106"/>
      <c r="J24" s="106"/>
      <c r="K24" s="106"/>
      <c r="L24" s="106"/>
      <c r="M24" s="106"/>
      <c r="N24" s="106"/>
      <c r="O24" s="106"/>
      <c r="P24" s="106"/>
      <c r="Q24" s="107"/>
    </row>
    <row r="25" spans="1:17" x14ac:dyDescent="0.2">
      <c r="A25" s="105"/>
      <c r="B25" s="106"/>
      <c r="C25" s="106"/>
      <c r="D25" s="106"/>
      <c r="E25" s="106"/>
      <c r="F25" s="106"/>
      <c r="G25" s="106"/>
      <c r="H25" s="106"/>
      <c r="I25" s="106"/>
      <c r="J25" s="106"/>
      <c r="K25" s="106"/>
      <c r="L25" s="106"/>
      <c r="M25" s="106"/>
      <c r="N25" s="106"/>
      <c r="O25" s="106"/>
      <c r="P25" s="106"/>
      <c r="Q25" s="107"/>
    </row>
    <row r="26" spans="1:17" x14ac:dyDescent="0.2">
      <c r="A26" s="105"/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7"/>
    </row>
    <row r="27" spans="1:17" x14ac:dyDescent="0.2">
      <c r="A27" s="105"/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7"/>
    </row>
    <row r="28" spans="1:17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ht="20" customHeight="1" x14ac:dyDescent="1.05">
      <c r="A31" s="70"/>
      <c r="B31" s="71"/>
      <c r="C31" s="71"/>
      <c r="D31" s="71"/>
      <c r="E31" s="71"/>
      <c r="F31" s="71"/>
      <c r="G31" s="71"/>
      <c r="H31" s="71"/>
      <c r="I31" s="71"/>
      <c r="J31" s="71"/>
      <c r="K31" s="71"/>
      <c r="L31" s="71"/>
      <c r="M31" s="71"/>
      <c r="N31" s="71"/>
      <c r="O31" s="3"/>
      <c r="P31" s="3"/>
      <c r="Q31" s="10"/>
    </row>
    <row r="32" spans="1:17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ht="19" customHeight="1" x14ac:dyDescent="0.55000000000000004">
      <c r="A34" s="72"/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3"/>
      <c r="P34" s="3"/>
      <c r="Q34" s="10"/>
    </row>
    <row r="35" spans="1:17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9"/>
      <c r="B37" s="3"/>
      <c r="C37" s="3"/>
      <c r="D37" s="3"/>
      <c r="E37" s="3"/>
      <c r="F37" s="3"/>
      <c r="G37" s="3"/>
      <c r="H37" s="3"/>
      <c r="I37" s="3"/>
      <c r="K37" s="3"/>
      <c r="L37" s="3"/>
      <c r="M37" s="3"/>
      <c r="N37" s="3"/>
      <c r="O37" s="3"/>
      <c r="P37" s="3"/>
      <c r="Q37" s="10"/>
    </row>
    <row r="38" spans="1:17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ht="17" thickBot="1" x14ac:dyDescent="0.25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3"/>
    </row>
    <row r="55" spans="1:17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ht="24" x14ac:dyDescent="0.3">
      <c r="A57" s="9"/>
      <c r="B57" s="3"/>
      <c r="C57" s="3"/>
      <c r="D57" s="44"/>
      <c r="E57" s="44"/>
      <c r="F57" s="44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ht="24" x14ac:dyDescent="0.3">
      <c r="A58" s="9"/>
      <c r="B58" s="3"/>
      <c r="C58" s="3"/>
      <c r="D58" s="44"/>
      <c r="E58" s="44"/>
      <c r="F58" s="44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ht="24" x14ac:dyDescent="0.3">
      <c r="A59" s="9"/>
      <c r="B59" s="3"/>
      <c r="C59" s="3"/>
      <c r="D59" s="44"/>
      <c r="E59" s="44"/>
      <c r="F59" s="44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ht="24" x14ac:dyDescent="0.3">
      <c r="A60" s="9"/>
      <c r="B60" s="3"/>
      <c r="C60" s="3"/>
      <c r="D60" s="44"/>
      <c r="E60" s="44"/>
      <c r="F60" s="44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ht="24" x14ac:dyDescent="0.3">
      <c r="A61" s="9"/>
      <c r="B61" s="3"/>
      <c r="C61" s="3"/>
      <c r="D61" s="44"/>
      <c r="E61" s="44"/>
      <c r="F61" s="44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ht="24" x14ac:dyDescent="0.3">
      <c r="A62" s="9"/>
      <c r="B62" s="3"/>
      <c r="C62" s="3"/>
      <c r="D62" s="44"/>
      <c r="E62" s="44"/>
      <c r="F62" s="44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ht="2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5"/>
      <c r="L63" s="5"/>
      <c r="M63" s="5"/>
      <c r="N63" s="3"/>
      <c r="O63" s="3"/>
      <c r="P63" s="3"/>
      <c r="Q63" s="10"/>
    </row>
    <row r="64" spans="1:17" ht="21" x14ac:dyDescent="0.25">
      <c r="A64" s="9"/>
      <c r="B64" s="3"/>
      <c r="C64" s="3"/>
      <c r="D64" s="3"/>
      <c r="E64" s="3"/>
      <c r="F64" s="3"/>
      <c r="G64" s="3"/>
      <c r="H64" s="3"/>
      <c r="I64" s="3"/>
      <c r="J64" s="3"/>
      <c r="K64" s="5"/>
      <c r="L64" s="5"/>
      <c r="M64" s="5"/>
      <c r="N64" s="3"/>
      <c r="O64" s="3"/>
      <c r="P64" s="3"/>
      <c r="Q64" s="10"/>
    </row>
    <row r="65" spans="1:17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10"/>
    </row>
    <row r="72" spans="1:17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10"/>
    </row>
    <row r="73" spans="1:17" x14ac:dyDescent="0.2">
      <c r="A73" s="9"/>
      <c r="B73" s="3"/>
      <c r="C73" s="3"/>
      <c r="D73" s="3"/>
      <c r="E73" s="3"/>
      <c r="F73" s="3"/>
      <c r="G73" s="3"/>
      <c r="I73" s="3"/>
      <c r="J73" s="3"/>
      <c r="K73" s="3"/>
      <c r="L73" s="3"/>
      <c r="M73" s="3"/>
      <c r="N73" s="3"/>
      <c r="O73" s="3"/>
      <c r="P73" s="3"/>
      <c r="Q73" s="10"/>
    </row>
    <row r="74" spans="1:17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10"/>
    </row>
    <row r="75" spans="1:17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10"/>
    </row>
    <row r="76" spans="1:17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10"/>
    </row>
    <row r="77" spans="1:17" ht="17" thickBot="1" x14ac:dyDescent="0.25">
      <c r="A77" s="11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3"/>
    </row>
    <row r="78" spans="1:17" x14ac:dyDescent="0.2">
      <c r="A78" s="6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8"/>
    </row>
    <row r="79" spans="1:17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10"/>
    </row>
    <row r="80" spans="1:17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10"/>
    </row>
    <row r="81" spans="1:17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10"/>
    </row>
    <row r="82" spans="1:17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10"/>
    </row>
    <row r="83" spans="1:17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10"/>
    </row>
    <row r="84" spans="1:17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10"/>
    </row>
    <row r="85" spans="1:17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10"/>
    </row>
    <row r="86" spans="1:17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10"/>
    </row>
    <row r="87" spans="1:17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10"/>
    </row>
    <row r="88" spans="1:17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10"/>
    </row>
    <row r="89" spans="1:17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10"/>
    </row>
    <row r="90" spans="1:17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10"/>
    </row>
    <row r="91" spans="1:17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10"/>
    </row>
    <row r="92" spans="1:17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10"/>
    </row>
    <row r="93" spans="1:17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10"/>
    </row>
    <row r="94" spans="1:17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10"/>
    </row>
    <row r="95" spans="1:17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10"/>
    </row>
    <row r="96" spans="1:17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10"/>
    </row>
    <row r="97" spans="1:17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10"/>
    </row>
    <row r="98" spans="1:17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10"/>
    </row>
    <row r="99" spans="1:17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10"/>
    </row>
    <row r="100" spans="1:17" x14ac:dyDescent="0.2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10"/>
    </row>
    <row r="101" spans="1:17" x14ac:dyDescent="0.2">
      <c r="A101" s="9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10"/>
    </row>
    <row r="102" spans="1:17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10"/>
    </row>
    <row r="103" spans="1:17" x14ac:dyDescent="0.2">
      <c r="A103" s="6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8"/>
    </row>
    <row r="104" spans="1:17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10"/>
    </row>
    <row r="105" spans="1:17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10"/>
    </row>
    <row r="106" spans="1:17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10"/>
    </row>
    <row r="107" spans="1:17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10"/>
    </row>
    <row r="108" spans="1:17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10"/>
    </row>
    <row r="109" spans="1:17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10"/>
    </row>
    <row r="110" spans="1:17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10"/>
    </row>
    <row r="111" spans="1:17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10"/>
    </row>
    <row r="112" spans="1:17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10"/>
    </row>
    <row r="113" spans="1:17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10"/>
    </row>
    <row r="114" spans="1:17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10"/>
    </row>
    <row r="115" spans="1:17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10"/>
    </row>
    <row r="116" spans="1:17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10"/>
    </row>
    <row r="117" spans="1:17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10"/>
    </row>
    <row r="118" spans="1:17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10"/>
    </row>
    <row r="119" spans="1:17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10"/>
    </row>
    <row r="120" spans="1:17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10"/>
    </row>
    <row r="121" spans="1:17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10"/>
    </row>
    <row r="122" spans="1:17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10"/>
    </row>
    <row r="123" spans="1:17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10"/>
    </row>
    <row r="124" spans="1:17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10"/>
    </row>
    <row r="125" spans="1:17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10"/>
    </row>
    <row r="126" spans="1:17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10"/>
    </row>
    <row r="127" spans="1:17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10"/>
    </row>
    <row r="128" spans="1:17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10"/>
    </row>
    <row r="129" spans="1:17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10"/>
    </row>
    <row r="130" spans="1:17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10"/>
    </row>
    <row r="131" spans="1:17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10"/>
    </row>
    <row r="132" spans="1:17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10"/>
    </row>
    <row r="133" spans="1:17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10"/>
    </row>
    <row r="134" spans="1:17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10"/>
    </row>
    <row r="135" spans="1:17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10"/>
    </row>
    <row r="136" spans="1:17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10"/>
    </row>
    <row r="137" spans="1:17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10"/>
    </row>
    <row r="138" spans="1:17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10"/>
    </row>
    <row r="139" spans="1:17" x14ac:dyDescent="0.2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10"/>
    </row>
    <row r="140" spans="1:17" x14ac:dyDescent="0.2">
      <c r="A140" s="9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10"/>
    </row>
    <row r="141" spans="1:17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10"/>
    </row>
    <row r="142" spans="1:17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10"/>
    </row>
    <row r="143" spans="1:17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10"/>
    </row>
    <row r="144" spans="1:17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10"/>
    </row>
    <row r="145" spans="1:17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10"/>
    </row>
    <row r="146" spans="1:17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10"/>
    </row>
    <row r="147" spans="1:17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10"/>
    </row>
    <row r="148" spans="1:17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10"/>
    </row>
    <row r="149" spans="1:17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10"/>
    </row>
    <row r="150" spans="1:17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10"/>
    </row>
    <row r="151" spans="1:17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10"/>
    </row>
    <row r="152" spans="1:17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10"/>
    </row>
    <row r="153" spans="1:17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10"/>
    </row>
    <row r="154" spans="1:17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10"/>
    </row>
    <row r="155" spans="1:17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10"/>
    </row>
    <row r="156" spans="1:17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10"/>
    </row>
    <row r="157" spans="1:17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10"/>
    </row>
    <row r="158" spans="1:17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10"/>
    </row>
    <row r="159" spans="1:17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10"/>
    </row>
    <row r="160" spans="1:17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10"/>
    </row>
    <row r="161" spans="1:17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10"/>
    </row>
    <row r="162" spans="1:17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10"/>
    </row>
    <row r="163" spans="1:17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10"/>
    </row>
    <row r="164" spans="1:17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10"/>
    </row>
    <row r="165" spans="1:17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10"/>
    </row>
    <row r="166" spans="1:17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10"/>
    </row>
    <row r="167" spans="1:17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10"/>
    </row>
    <row r="168" spans="1:17" x14ac:dyDescent="0.2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10"/>
    </row>
    <row r="169" spans="1:17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10"/>
    </row>
    <row r="170" spans="1:17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10"/>
    </row>
    <row r="171" spans="1:17" x14ac:dyDescent="0.2">
      <c r="A171" s="6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8"/>
    </row>
    <row r="172" spans="1:17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10"/>
    </row>
    <row r="173" spans="1:17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10"/>
    </row>
    <row r="174" spans="1:17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10"/>
    </row>
    <row r="175" spans="1:17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10"/>
    </row>
    <row r="176" spans="1:17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10"/>
    </row>
    <row r="177" spans="1:17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10"/>
    </row>
    <row r="178" spans="1:17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10"/>
    </row>
    <row r="179" spans="1:17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10"/>
    </row>
    <row r="180" spans="1:17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10"/>
    </row>
    <row r="181" spans="1:17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10"/>
    </row>
    <row r="182" spans="1:17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10"/>
    </row>
    <row r="183" spans="1:17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10"/>
    </row>
    <row r="184" spans="1:17" x14ac:dyDescent="0.2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10"/>
    </row>
    <row r="185" spans="1:17" x14ac:dyDescent="0.2">
      <c r="A185" s="9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10"/>
    </row>
    <row r="186" spans="1:17" x14ac:dyDescent="0.2">
      <c r="A186" s="9"/>
      <c r="B186" s="3"/>
      <c r="C186" s="3"/>
      <c r="D186" s="3"/>
      <c r="E186" s="3"/>
      <c r="F186" s="3"/>
      <c r="G186" s="3"/>
      <c r="H186" s="3" t="s">
        <v>95</v>
      </c>
      <c r="I186" s="3"/>
      <c r="J186" s="3"/>
      <c r="K186" s="3"/>
      <c r="L186" s="3"/>
      <c r="M186" s="3"/>
      <c r="N186" s="3"/>
      <c r="O186" s="3"/>
      <c r="P186" s="3"/>
      <c r="Q186" s="10"/>
    </row>
    <row r="187" spans="1:17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10"/>
    </row>
    <row r="188" spans="1:17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10"/>
    </row>
    <row r="189" spans="1:17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10"/>
    </row>
    <row r="190" spans="1:17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10"/>
    </row>
    <row r="191" spans="1:17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10"/>
    </row>
    <row r="192" spans="1:17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10"/>
    </row>
    <row r="193" spans="1:17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10"/>
    </row>
    <row r="194" spans="1:17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10"/>
    </row>
    <row r="195" spans="1:17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10"/>
    </row>
    <row r="196" spans="1:17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10"/>
    </row>
    <row r="197" spans="1:17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10"/>
    </row>
    <row r="198" spans="1:17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10"/>
    </row>
    <row r="199" spans="1:17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10"/>
    </row>
    <row r="200" spans="1:17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10"/>
    </row>
    <row r="201" spans="1:17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10"/>
    </row>
    <row r="202" spans="1:17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10"/>
    </row>
    <row r="203" spans="1:17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10"/>
    </row>
    <row r="204" spans="1:17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10"/>
    </row>
    <row r="205" spans="1:17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10"/>
    </row>
    <row r="206" spans="1:17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10"/>
    </row>
    <row r="207" spans="1:17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10"/>
    </row>
    <row r="208" spans="1:17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10"/>
    </row>
    <row r="209" spans="1:17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10"/>
    </row>
    <row r="210" spans="1:17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10"/>
    </row>
    <row r="211" spans="1:17" ht="17" thickBot="1" x14ac:dyDescent="0.25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10"/>
    </row>
    <row r="212" spans="1:17" x14ac:dyDescent="0.2">
      <c r="A212" s="6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8"/>
    </row>
    <row r="213" spans="1:17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10"/>
    </row>
    <row r="214" spans="1:17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10"/>
    </row>
    <row r="215" spans="1:17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10"/>
    </row>
    <row r="216" spans="1:17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10"/>
    </row>
    <row r="217" spans="1:17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10"/>
    </row>
    <row r="218" spans="1:17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10"/>
    </row>
    <row r="219" spans="1:17" x14ac:dyDescent="0.2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10"/>
    </row>
    <row r="220" spans="1:17" x14ac:dyDescent="0.2">
      <c r="A220" s="9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10"/>
    </row>
    <row r="221" spans="1:17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10"/>
    </row>
    <row r="222" spans="1:17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10"/>
    </row>
    <row r="223" spans="1:17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10"/>
    </row>
    <row r="224" spans="1:17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10"/>
    </row>
    <row r="225" spans="1:17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10"/>
    </row>
    <row r="226" spans="1:17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10"/>
    </row>
    <row r="227" spans="1:17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10"/>
    </row>
    <row r="228" spans="1:17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10"/>
    </row>
    <row r="229" spans="1:17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10"/>
    </row>
    <row r="230" spans="1:17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10"/>
    </row>
    <row r="231" spans="1:17" ht="17" thickBot="1" x14ac:dyDescent="0.25">
      <c r="A231" s="11"/>
      <c r="B231" s="12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3"/>
    </row>
    <row r="232" spans="1:17" x14ac:dyDescent="0.2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10"/>
    </row>
    <row r="233" spans="1:17" x14ac:dyDescent="0.2">
      <c r="A233" s="9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10"/>
    </row>
    <row r="234" spans="1:17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10"/>
    </row>
    <row r="235" spans="1:17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10"/>
    </row>
    <row r="236" spans="1:17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10"/>
    </row>
    <row r="237" spans="1:17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10"/>
    </row>
    <row r="238" spans="1:17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10"/>
    </row>
    <row r="239" spans="1:17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10"/>
    </row>
    <row r="240" spans="1:17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10"/>
    </row>
    <row r="241" spans="1:17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10"/>
    </row>
    <row r="242" spans="1:17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10"/>
    </row>
    <row r="243" spans="1:17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10"/>
    </row>
    <row r="244" spans="1:17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10"/>
    </row>
    <row r="245" spans="1:17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10"/>
    </row>
    <row r="246" spans="1:17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10"/>
    </row>
    <row r="247" spans="1:17" x14ac:dyDescent="0.2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10"/>
    </row>
    <row r="248" spans="1:17" x14ac:dyDescent="0.2">
      <c r="A248" s="9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10"/>
    </row>
    <row r="249" spans="1:17" ht="17" thickBot="1" x14ac:dyDescent="0.25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10"/>
    </row>
    <row r="250" spans="1:17" x14ac:dyDescent="0.2">
      <c r="A250" s="6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8"/>
    </row>
    <row r="251" spans="1:17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10"/>
    </row>
    <row r="252" spans="1:17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10"/>
    </row>
    <row r="253" spans="1:17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10"/>
    </row>
    <row r="254" spans="1:17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10"/>
    </row>
    <row r="255" spans="1:17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10"/>
    </row>
    <row r="256" spans="1:17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10"/>
    </row>
    <row r="257" spans="1:17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10"/>
    </row>
    <row r="258" spans="1:17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10"/>
    </row>
    <row r="259" spans="1:17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10"/>
    </row>
    <row r="260" spans="1:17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10"/>
    </row>
    <row r="261" spans="1:17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10"/>
    </row>
    <row r="262" spans="1:17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10"/>
    </row>
    <row r="263" spans="1:17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10"/>
    </row>
    <row r="264" spans="1:17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10"/>
    </row>
    <row r="265" spans="1:17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10"/>
    </row>
    <row r="266" spans="1:17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10"/>
    </row>
    <row r="267" spans="1:17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10"/>
    </row>
    <row r="268" spans="1:17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10"/>
    </row>
    <row r="269" spans="1:17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10"/>
    </row>
    <row r="270" spans="1:17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10"/>
    </row>
    <row r="271" spans="1:17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10"/>
    </row>
    <row r="272" spans="1:17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10"/>
    </row>
    <row r="273" spans="1:17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10"/>
    </row>
    <row r="274" spans="1:17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10"/>
    </row>
    <row r="275" spans="1:17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10"/>
    </row>
    <row r="276" spans="1:17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10"/>
    </row>
    <row r="277" spans="1:17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10"/>
    </row>
    <row r="278" spans="1:17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10"/>
    </row>
    <row r="279" spans="1:17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10"/>
    </row>
    <row r="280" spans="1:17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10"/>
    </row>
    <row r="281" spans="1:17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10"/>
    </row>
    <row r="282" spans="1:17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10"/>
    </row>
    <row r="283" spans="1:17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10"/>
    </row>
    <row r="284" spans="1:17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10"/>
    </row>
    <row r="285" spans="1:17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10"/>
    </row>
    <row r="286" spans="1:17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10"/>
    </row>
    <row r="287" spans="1:17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10"/>
    </row>
    <row r="288" spans="1:17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10"/>
    </row>
    <row r="289" spans="1:17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10"/>
    </row>
    <row r="290" spans="1:17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10"/>
    </row>
    <row r="291" spans="1:17" ht="17" thickBot="1" x14ac:dyDescent="0.25">
      <c r="A291" s="11"/>
      <c r="B291" s="12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3"/>
    </row>
  </sheetData>
  <mergeCells count="6">
    <mergeCell ref="A10:Q11"/>
    <mergeCell ref="C1:N2"/>
    <mergeCell ref="A1:B2"/>
    <mergeCell ref="P1:Q1"/>
    <mergeCell ref="P2:Q2"/>
    <mergeCell ref="D4:P8"/>
  </mergeCells>
  <printOptions horizontalCentered="1"/>
  <pageMargins left="0.25" right="0.25" top="0.75" bottom="0.75" header="0.3" footer="0.3"/>
  <pageSetup paperSize="9" scale="40" orientation="portrait" horizontalDpi="0" verticalDpi="0"/>
  <rowBreaks count="2" manualBreakCount="2">
    <brk id="102" max="16" man="1"/>
    <brk id="211" max="16" man="1"/>
  </rowBreak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C72AC3-7F0F-3649-AC93-41B578562B02}">
  <dimension ref="A1:T305"/>
  <sheetViews>
    <sheetView showGridLines="0" view="pageBreakPreview" topLeftCell="A69" zoomScaleNormal="100" zoomScaleSheetLayoutView="100" workbookViewId="0">
      <selection activeCell="L98" sqref="L98"/>
    </sheetView>
  </sheetViews>
  <sheetFormatPr baseColWidth="10" defaultRowHeight="16" x14ac:dyDescent="0.2"/>
  <cols>
    <col min="18" max="18" width="14.83203125" customWidth="1"/>
    <col min="19" max="19" width="13.83203125" customWidth="1"/>
  </cols>
  <sheetData>
    <row r="1" spans="1:20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19" t="s">
        <v>21</v>
      </c>
      <c r="S1" s="278">
        <v>44555</v>
      </c>
      <c r="T1" s="279"/>
    </row>
    <row r="2" spans="1:20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20" t="s">
        <v>20</v>
      </c>
      <c r="S2" s="280">
        <f ca="1">NOW()</f>
        <v>44575.899132638886</v>
      </c>
      <c r="T2" s="281"/>
    </row>
    <row r="3" spans="1:20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10"/>
    </row>
    <row r="4" spans="1:20" ht="21" x14ac:dyDescent="0.25">
      <c r="A4" s="17" t="s">
        <v>23</v>
      </c>
      <c r="B4" s="3"/>
      <c r="C4" s="3"/>
      <c r="D4" s="291" t="s">
        <v>97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3"/>
      <c r="T4" s="10"/>
    </row>
    <row r="5" spans="1:20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6"/>
      <c r="T5" s="10"/>
    </row>
    <row r="6" spans="1:20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6"/>
      <c r="T6" s="10"/>
    </row>
    <row r="7" spans="1:20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6"/>
      <c r="T7" s="10"/>
    </row>
    <row r="8" spans="1:20" ht="17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9"/>
      <c r="T8" s="10"/>
    </row>
    <row r="9" spans="1:20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10"/>
    </row>
    <row r="10" spans="1:20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2"/>
    </row>
    <row r="11" spans="1:20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5"/>
    </row>
    <row r="12" spans="1:20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10"/>
    </row>
    <row r="13" spans="1:20" s="2" customFormat="1" ht="24" x14ac:dyDescent="0.3">
      <c r="A13" s="15"/>
      <c r="B13" s="14" t="s">
        <v>26</v>
      </c>
      <c r="C13" s="58" t="s">
        <v>96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14"/>
      <c r="S13" s="14"/>
      <c r="T13" s="22"/>
    </row>
    <row r="14" spans="1:20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10"/>
    </row>
    <row r="15" spans="1:20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10"/>
    </row>
    <row r="16" spans="1:20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7"/>
    </row>
    <row r="17" spans="1:20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7"/>
    </row>
    <row r="18" spans="1:20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7"/>
    </row>
    <row r="19" spans="1:20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7"/>
    </row>
    <row r="20" spans="1:20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7"/>
    </row>
    <row r="21" spans="1:20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7"/>
    </row>
    <row r="22" spans="1:20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7"/>
    </row>
    <row r="23" spans="1:20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7"/>
    </row>
    <row r="24" spans="1:20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10"/>
    </row>
    <row r="25" spans="1:20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10"/>
    </row>
    <row r="26" spans="1:20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10"/>
    </row>
    <row r="27" spans="1:20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10"/>
    </row>
    <row r="28" spans="1:20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10"/>
    </row>
    <row r="29" spans="1:20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10"/>
    </row>
    <row r="30" spans="1:20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10"/>
    </row>
    <row r="31" spans="1:20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10"/>
    </row>
    <row r="32" spans="1:20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10"/>
    </row>
    <row r="33" spans="1:20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10"/>
    </row>
    <row r="34" spans="1:20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10"/>
    </row>
    <row r="35" spans="1:20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10"/>
    </row>
    <row r="36" spans="1:20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10"/>
    </row>
    <row r="37" spans="1:20" x14ac:dyDescent="0.2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10"/>
    </row>
    <row r="38" spans="1:20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10"/>
    </row>
    <row r="39" spans="1:20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10"/>
    </row>
    <row r="40" spans="1:20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10"/>
    </row>
    <row r="41" spans="1:20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10"/>
    </row>
    <row r="42" spans="1:20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10"/>
    </row>
    <row r="43" spans="1:20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10"/>
    </row>
    <row r="44" spans="1:20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10"/>
    </row>
    <row r="45" spans="1:20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10"/>
    </row>
    <row r="46" spans="1:20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10"/>
    </row>
    <row r="47" spans="1:20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10"/>
    </row>
    <row r="48" spans="1:20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10"/>
    </row>
    <row r="49" spans="1:20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10"/>
    </row>
    <row r="50" spans="1:20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10"/>
    </row>
    <row r="51" spans="1:20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10"/>
    </row>
    <row r="52" spans="1:20" ht="17" thickBot="1" x14ac:dyDescent="0.25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3"/>
    </row>
    <row r="53" spans="1:20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10"/>
    </row>
    <row r="54" spans="1:20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10"/>
    </row>
    <row r="55" spans="1:20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10"/>
    </row>
    <row r="56" spans="1:20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10"/>
    </row>
    <row r="57" spans="1:20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10"/>
    </row>
    <row r="58" spans="1:20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10"/>
    </row>
    <row r="59" spans="1:20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10"/>
    </row>
    <row r="60" spans="1:20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10"/>
    </row>
    <row r="61" spans="1:20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10"/>
    </row>
    <row r="62" spans="1:20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10"/>
    </row>
    <row r="63" spans="1:20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10"/>
    </row>
    <row r="64" spans="1:20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10"/>
    </row>
    <row r="65" spans="1:20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10"/>
    </row>
    <row r="66" spans="1:20" x14ac:dyDescent="0.2">
      <c r="A66" s="9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10"/>
    </row>
    <row r="67" spans="1:20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10"/>
    </row>
    <row r="68" spans="1:20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10"/>
    </row>
    <row r="69" spans="1:20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10"/>
    </row>
    <row r="70" spans="1:20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10"/>
    </row>
    <row r="71" spans="1:20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10"/>
    </row>
    <row r="72" spans="1:20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10"/>
    </row>
    <row r="73" spans="1:20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10"/>
    </row>
    <row r="74" spans="1:20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10"/>
    </row>
    <row r="75" spans="1:20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10"/>
    </row>
    <row r="76" spans="1:20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10"/>
    </row>
    <row r="77" spans="1:20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10"/>
    </row>
    <row r="78" spans="1:20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10"/>
    </row>
    <row r="79" spans="1:20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10"/>
    </row>
    <row r="80" spans="1:20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10"/>
    </row>
    <row r="81" spans="1:20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10"/>
    </row>
    <row r="82" spans="1:20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10"/>
    </row>
    <row r="83" spans="1:20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10"/>
    </row>
    <row r="84" spans="1:20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10"/>
    </row>
    <row r="85" spans="1:20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10"/>
    </row>
    <row r="86" spans="1:20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10"/>
    </row>
    <row r="87" spans="1:20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10"/>
    </row>
    <row r="88" spans="1:20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10"/>
    </row>
    <row r="89" spans="1:20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10"/>
    </row>
    <row r="90" spans="1:20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10"/>
    </row>
    <row r="91" spans="1:20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10"/>
    </row>
    <row r="92" spans="1:20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10"/>
    </row>
    <row r="93" spans="1:20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10"/>
    </row>
    <row r="94" spans="1:20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10"/>
    </row>
    <row r="95" spans="1:20" x14ac:dyDescent="0.2">
      <c r="A95" s="9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10"/>
    </row>
    <row r="96" spans="1:20" x14ac:dyDescent="0.2">
      <c r="A96" s="9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10"/>
    </row>
    <row r="97" spans="1:20" x14ac:dyDescent="0.2">
      <c r="A97" s="9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10"/>
    </row>
    <row r="98" spans="1:20" x14ac:dyDescent="0.2">
      <c r="A98" s="9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10"/>
    </row>
    <row r="99" spans="1:20" x14ac:dyDescent="0.2">
      <c r="A99" s="9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10"/>
    </row>
    <row r="100" spans="1:20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10"/>
    </row>
    <row r="101" spans="1:20" x14ac:dyDescent="0.2">
      <c r="A101" s="6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8"/>
    </row>
    <row r="102" spans="1:20" x14ac:dyDescent="0.2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10"/>
    </row>
    <row r="103" spans="1:20" x14ac:dyDescent="0.2">
      <c r="A103" s="9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10"/>
    </row>
    <row r="104" spans="1:20" x14ac:dyDescent="0.2">
      <c r="A104" s="9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10"/>
    </row>
    <row r="105" spans="1:20" x14ac:dyDescent="0.2">
      <c r="A105" s="9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10"/>
    </row>
    <row r="106" spans="1:20" x14ac:dyDescent="0.2">
      <c r="A106" s="9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10"/>
    </row>
    <row r="107" spans="1:20" x14ac:dyDescent="0.2">
      <c r="A107" s="9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10"/>
    </row>
    <row r="108" spans="1:20" x14ac:dyDescent="0.2">
      <c r="A108" s="9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10"/>
    </row>
    <row r="109" spans="1:20" x14ac:dyDescent="0.2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10"/>
    </row>
    <row r="110" spans="1:20" x14ac:dyDescent="0.2">
      <c r="A110" s="9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10"/>
    </row>
    <row r="111" spans="1:20" x14ac:dyDescent="0.2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10"/>
    </row>
    <row r="112" spans="1:20" x14ac:dyDescent="0.2">
      <c r="A112" s="9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10"/>
    </row>
    <row r="113" spans="1:20" x14ac:dyDescent="0.2">
      <c r="A113" s="9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10"/>
    </row>
    <row r="114" spans="1:20" x14ac:dyDescent="0.2">
      <c r="A114" s="9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10"/>
    </row>
    <row r="115" spans="1:20" x14ac:dyDescent="0.2">
      <c r="A115" s="9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10"/>
    </row>
    <row r="116" spans="1:20" x14ac:dyDescent="0.2">
      <c r="A116" s="9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10"/>
    </row>
    <row r="117" spans="1:20" x14ac:dyDescent="0.2">
      <c r="A117" s="9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10"/>
    </row>
    <row r="118" spans="1:20" x14ac:dyDescent="0.2">
      <c r="A118" s="9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10"/>
    </row>
    <row r="119" spans="1:20" x14ac:dyDescent="0.2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10"/>
    </row>
    <row r="120" spans="1:20" x14ac:dyDescent="0.2">
      <c r="A120" s="9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10"/>
    </row>
    <row r="121" spans="1:20" x14ac:dyDescent="0.2">
      <c r="A121" s="9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10"/>
    </row>
    <row r="122" spans="1:20" x14ac:dyDescent="0.2">
      <c r="A122" s="9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10"/>
    </row>
    <row r="123" spans="1:20" x14ac:dyDescent="0.2">
      <c r="A123" s="9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10"/>
    </row>
    <row r="124" spans="1:20" x14ac:dyDescent="0.2">
      <c r="A124" s="9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10"/>
    </row>
    <row r="125" spans="1:20" x14ac:dyDescent="0.2">
      <c r="A125" s="9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10"/>
    </row>
    <row r="126" spans="1:20" x14ac:dyDescent="0.2">
      <c r="A126" s="9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10"/>
    </row>
    <row r="127" spans="1:20" x14ac:dyDescent="0.2">
      <c r="A127" s="9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10"/>
    </row>
    <row r="128" spans="1:20" x14ac:dyDescent="0.2">
      <c r="A128" s="9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10"/>
    </row>
    <row r="129" spans="1:20" x14ac:dyDescent="0.2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10"/>
    </row>
    <row r="130" spans="1:20" x14ac:dyDescent="0.2">
      <c r="A130" s="9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10"/>
    </row>
    <row r="131" spans="1:20" x14ac:dyDescent="0.2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10"/>
    </row>
    <row r="132" spans="1:20" x14ac:dyDescent="0.2">
      <c r="A132" s="9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10"/>
    </row>
    <row r="133" spans="1:20" x14ac:dyDescent="0.2">
      <c r="A133" s="9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10"/>
    </row>
    <row r="134" spans="1:20" x14ac:dyDescent="0.2">
      <c r="A134" s="9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10"/>
    </row>
    <row r="135" spans="1:20" x14ac:dyDescent="0.2">
      <c r="A135" s="9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10"/>
    </row>
    <row r="136" spans="1:20" x14ac:dyDescent="0.2">
      <c r="A136" s="9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10"/>
    </row>
    <row r="137" spans="1:20" x14ac:dyDescent="0.2">
      <c r="A137" s="9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10"/>
    </row>
    <row r="138" spans="1:20" x14ac:dyDescent="0.2">
      <c r="A138" s="9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10"/>
    </row>
    <row r="139" spans="1:20" ht="17" thickBot="1" x14ac:dyDescent="0.25">
      <c r="A139" s="9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10"/>
    </row>
    <row r="140" spans="1:20" x14ac:dyDescent="0.2">
      <c r="A140" s="6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8"/>
    </row>
    <row r="141" spans="1:20" x14ac:dyDescent="0.2">
      <c r="A141" s="9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10"/>
    </row>
    <row r="142" spans="1:20" x14ac:dyDescent="0.2">
      <c r="A142" s="9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10"/>
    </row>
    <row r="143" spans="1:20" x14ac:dyDescent="0.2">
      <c r="A143" s="9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10"/>
    </row>
    <row r="144" spans="1:20" x14ac:dyDescent="0.2">
      <c r="A144" s="9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10"/>
    </row>
    <row r="145" spans="1:20" x14ac:dyDescent="0.2">
      <c r="A145" s="9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10"/>
    </row>
    <row r="146" spans="1:20" x14ac:dyDescent="0.2">
      <c r="A146" s="9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10"/>
    </row>
    <row r="147" spans="1:20" x14ac:dyDescent="0.2">
      <c r="A147" s="9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10"/>
    </row>
    <row r="148" spans="1:20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10"/>
    </row>
    <row r="149" spans="1:20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10"/>
    </row>
    <row r="150" spans="1:20" x14ac:dyDescent="0.2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10"/>
    </row>
    <row r="151" spans="1:20" x14ac:dyDescent="0.2">
      <c r="A151" s="9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10"/>
    </row>
    <row r="152" spans="1:20" x14ac:dyDescent="0.2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10"/>
    </row>
    <row r="153" spans="1:20" x14ac:dyDescent="0.2">
      <c r="A153" s="9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10"/>
    </row>
    <row r="154" spans="1:20" x14ac:dyDescent="0.2">
      <c r="A154" s="9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10"/>
    </row>
    <row r="155" spans="1:20" x14ac:dyDescent="0.2">
      <c r="A155" s="9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10"/>
    </row>
    <row r="156" spans="1:20" x14ac:dyDescent="0.2">
      <c r="A156" s="9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10"/>
    </row>
    <row r="157" spans="1:20" x14ac:dyDescent="0.2">
      <c r="A157" s="9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10"/>
    </row>
    <row r="158" spans="1:20" x14ac:dyDescent="0.2">
      <c r="A158" s="9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10"/>
    </row>
    <row r="159" spans="1:20" x14ac:dyDescent="0.2">
      <c r="A159" s="9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10"/>
    </row>
    <row r="160" spans="1:20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10"/>
    </row>
    <row r="161" spans="1:20" x14ac:dyDescent="0.2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10"/>
    </row>
    <row r="162" spans="1:20" x14ac:dyDescent="0.2">
      <c r="A162" s="9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10"/>
    </row>
    <row r="163" spans="1:20" x14ac:dyDescent="0.2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10"/>
    </row>
    <row r="164" spans="1:20" x14ac:dyDescent="0.2">
      <c r="A164" s="9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10"/>
    </row>
    <row r="165" spans="1:20" x14ac:dyDescent="0.2">
      <c r="A165" s="9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10"/>
    </row>
    <row r="166" spans="1:20" x14ac:dyDescent="0.2">
      <c r="A166" s="9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10"/>
    </row>
    <row r="167" spans="1:20" x14ac:dyDescent="0.2">
      <c r="A167" s="9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10"/>
    </row>
    <row r="168" spans="1:20" ht="17" thickBot="1" x14ac:dyDescent="0.25">
      <c r="A168" s="9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10"/>
    </row>
    <row r="169" spans="1:20" x14ac:dyDescent="0.2">
      <c r="A169" s="6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8"/>
    </row>
    <row r="170" spans="1:20" x14ac:dyDescent="0.2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10"/>
    </row>
    <row r="171" spans="1:20" x14ac:dyDescent="0.2">
      <c r="A171" s="9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10"/>
    </row>
    <row r="172" spans="1:20" x14ac:dyDescent="0.2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10"/>
    </row>
    <row r="173" spans="1:20" x14ac:dyDescent="0.2">
      <c r="A173" s="9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10"/>
    </row>
    <row r="174" spans="1:20" x14ac:dyDescent="0.2">
      <c r="A174" s="9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10"/>
    </row>
    <row r="175" spans="1:20" x14ac:dyDescent="0.2">
      <c r="A175" s="9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10"/>
    </row>
    <row r="176" spans="1:20" x14ac:dyDescent="0.2">
      <c r="A176" s="9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10"/>
    </row>
    <row r="177" spans="1:20" x14ac:dyDescent="0.2">
      <c r="A177" s="9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10"/>
    </row>
    <row r="178" spans="1:20" x14ac:dyDescent="0.2">
      <c r="A178" s="9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10"/>
    </row>
    <row r="179" spans="1:20" x14ac:dyDescent="0.2">
      <c r="A179" s="9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10"/>
    </row>
    <row r="180" spans="1:20" x14ac:dyDescent="0.2">
      <c r="A180" s="9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10"/>
    </row>
    <row r="181" spans="1:20" x14ac:dyDescent="0.2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10"/>
    </row>
    <row r="182" spans="1:20" x14ac:dyDescent="0.2">
      <c r="A182" s="9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10"/>
    </row>
    <row r="183" spans="1:20" x14ac:dyDescent="0.2">
      <c r="A183" s="9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10"/>
    </row>
    <row r="184" spans="1:20" ht="17" thickBot="1" x14ac:dyDescent="0.25">
      <c r="A184" s="9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10"/>
    </row>
    <row r="185" spans="1:20" x14ac:dyDescent="0.2">
      <c r="A185" s="6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8"/>
    </row>
    <row r="186" spans="1:20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10"/>
    </row>
    <row r="187" spans="1:20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10"/>
    </row>
    <row r="188" spans="1:20" x14ac:dyDescent="0.2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10"/>
    </row>
    <row r="189" spans="1:20" x14ac:dyDescent="0.2">
      <c r="A189" s="9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10"/>
    </row>
    <row r="190" spans="1:20" x14ac:dyDescent="0.2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10"/>
    </row>
    <row r="191" spans="1:20" x14ac:dyDescent="0.2">
      <c r="A191" s="9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10"/>
    </row>
    <row r="192" spans="1:20" x14ac:dyDescent="0.2">
      <c r="A192" s="9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10"/>
    </row>
    <row r="193" spans="1:20" x14ac:dyDescent="0.2">
      <c r="A193" s="9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10"/>
    </row>
    <row r="194" spans="1:20" x14ac:dyDescent="0.2">
      <c r="A194" s="9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10"/>
    </row>
    <row r="195" spans="1:20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10"/>
    </row>
    <row r="196" spans="1:20" x14ac:dyDescent="0.2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10"/>
    </row>
    <row r="197" spans="1:20" x14ac:dyDescent="0.2">
      <c r="A197" s="9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10"/>
    </row>
    <row r="198" spans="1:20" x14ac:dyDescent="0.2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10"/>
    </row>
    <row r="199" spans="1:20" x14ac:dyDescent="0.2">
      <c r="A199" s="9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10"/>
    </row>
    <row r="200" spans="1:20" x14ac:dyDescent="0.2">
      <c r="A200" s="9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10"/>
    </row>
    <row r="201" spans="1:20" x14ac:dyDescent="0.2">
      <c r="A201" s="9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10"/>
    </row>
    <row r="202" spans="1:20" x14ac:dyDescent="0.2">
      <c r="A202" s="9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10"/>
    </row>
    <row r="203" spans="1:20" x14ac:dyDescent="0.2">
      <c r="A203" s="9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10"/>
    </row>
    <row r="204" spans="1:20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10"/>
    </row>
    <row r="205" spans="1:20" x14ac:dyDescent="0.2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10"/>
    </row>
    <row r="206" spans="1:20" x14ac:dyDescent="0.2">
      <c r="A206" s="9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10"/>
    </row>
    <row r="207" spans="1:20" x14ac:dyDescent="0.2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10"/>
    </row>
    <row r="208" spans="1:20" x14ac:dyDescent="0.2">
      <c r="A208" s="9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10"/>
    </row>
    <row r="209" spans="1:20" x14ac:dyDescent="0.2">
      <c r="A209" s="9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10"/>
    </row>
    <row r="210" spans="1:20" x14ac:dyDescent="0.2">
      <c r="A210" s="9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10"/>
    </row>
    <row r="211" spans="1:20" x14ac:dyDescent="0.2">
      <c r="A211" s="9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10"/>
    </row>
    <row r="212" spans="1:20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10"/>
    </row>
    <row r="213" spans="1:20" x14ac:dyDescent="0.2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10"/>
    </row>
    <row r="214" spans="1:20" x14ac:dyDescent="0.2">
      <c r="A214" s="9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10"/>
    </row>
    <row r="215" spans="1:20" x14ac:dyDescent="0.2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10"/>
    </row>
    <row r="216" spans="1:20" x14ac:dyDescent="0.2">
      <c r="A216" s="9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10"/>
    </row>
    <row r="217" spans="1:20" x14ac:dyDescent="0.2">
      <c r="A217" s="9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10"/>
    </row>
    <row r="218" spans="1:20" x14ac:dyDescent="0.2">
      <c r="A218" s="9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10"/>
    </row>
    <row r="219" spans="1:20" ht="17" thickBot="1" x14ac:dyDescent="0.25">
      <c r="A219" s="9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10"/>
    </row>
    <row r="220" spans="1:20" x14ac:dyDescent="0.2">
      <c r="A220" s="6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8"/>
    </row>
    <row r="221" spans="1:20" x14ac:dyDescent="0.2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10"/>
    </row>
    <row r="222" spans="1:20" x14ac:dyDescent="0.2">
      <c r="A222" s="9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10"/>
    </row>
    <row r="223" spans="1:20" x14ac:dyDescent="0.2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10"/>
    </row>
    <row r="224" spans="1:20" x14ac:dyDescent="0.2">
      <c r="A224" s="9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10"/>
    </row>
    <row r="225" spans="1:20" x14ac:dyDescent="0.2">
      <c r="A225" s="9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10"/>
    </row>
    <row r="226" spans="1:20" x14ac:dyDescent="0.2">
      <c r="A226" s="9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10"/>
    </row>
    <row r="227" spans="1:20" x14ac:dyDescent="0.2">
      <c r="A227" s="9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10"/>
    </row>
    <row r="228" spans="1:20" x14ac:dyDescent="0.2">
      <c r="A228" s="9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10"/>
    </row>
    <row r="229" spans="1:20" x14ac:dyDescent="0.2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10"/>
    </row>
    <row r="230" spans="1:20" x14ac:dyDescent="0.2">
      <c r="A230" s="9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10"/>
    </row>
    <row r="231" spans="1:20" x14ac:dyDescent="0.2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10"/>
    </row>
    <row r="232" spans="1:20" ht="17" thickBot="1" x14ac:dyDescent="0.25">
      <c r="A232" s="9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10"/>
    </row>
    <row r="233" spans="1:20" x14ac:dyDescent="0.2">
      <c r="A233" s="6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8"/>
    </row>
    <row r="234" spans="1:20" x14ac:dyDescent="0.2">
      <c r="A234" s="9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10"/>
    </row>
    <row r="235" spans="1:20" x14ac:dyDescent="0.2">
      <c r="A235" s="9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10"/>
    </row>
    <row r="236" spans="1:20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10"/>
    </row>
    <row r="237" spans="1:20" x14ac:dyDescent="0.2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10"/>
    </row>
    <row r="238" spans="1:20" x14ac:dyDescent="0.2">
      <c r="A238" s="9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10"/>
    </row>
    <row r="239" spans="1:20" x14ac:dyDescent="0.2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10"/>
    </row>
    <row r="240" spans="1:20" x14ac:dyDescent="0.2">
      <c r="A240" s="9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10"/>
    </row>
    <row r="241" spans="1:20" x14ac:dyDescent="0.2">
      <c r="A241" s="9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10"/>
    </row>
    <row r="242" spans="1:20" x14ac:dyDescent="0.2">
      <c r="A242" s="9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10"/>
    </row>
    <row r="243" spans="1:20" x14ac:dyDescent="0.2">
      <c r="A243" s="9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10"/>
    </row>
    <row r="244" spans="1:20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10"/>
    </row>
    <row r="245" spans="1:20" x14ac:dyDescent="0.2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10"/>
    </row>
    <row r="246" spans="1:20" x14ac:dyDescent="0.2">
      <c r="A246" s="9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10"/>
    </row>
    <row r="247" spans="1:20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10"/>
    </row>
    <row r="248" spans="1:20" x14ac:dyDescent="0.2">
      <c r="A248" s="6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8"/>
    </row>
    <row r="249" spans="1:20" x14ac:dyDescent="0.2">
      <c r="A249" s="9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10"/>
    </row>
    <row r="250" spans="1:20" x14ac:dyDescent="0.2">
      <c r="A250" s="9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10"/>
    </row>
    <row r="251" spans="1:20" x14ac:dyDescent="0.2">
      <c r="A251" s="9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10"/>
    </row>
    <row r="252" spans="1:20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10"/>
    </row>
    <row r="253" spans="1:20" x14ac:dyDescent="0.2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10"/>
    </row>
    <row r="254" spans="1:20" x14ac:dyDescent="0.2">
      <c r="A254" s="9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10"/>
    </row>
    <row r="255" spans="1:20" x14ac:dyDescent="0.2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10"/>
    </row>
    <row r="256" spans="1:20" x14ac:dyDescent="0.2">
      <c r="A256" s="9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10"/>
    </row>
    <row r="257" spans="1:20" x14ac:dyDescent="0.2">
      <c r="A257" s="9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10"/>
    </row>
    <row r="258" spans="1:20" x14ac:dyDescent="0.2">
      <c r="A258" s="9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10"/>
    </row>
    <row r="259" spans="1:20" x14ac:dyDescent="0.2">
      <c r="A259" s="9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10"/>
    </row>
    <row r="260" spans="1:20" x14ac:dyDescent="0.2">
      <c r="A260" s="9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10"/>
    </row>
    <row r="261" spans="1:20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10"/>
    </row>
    <row r="262" spans="1:20" x14ac:dyDescent="0.2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10"/>
    </row>
    <row r="263" spans="1:20" x14ac:dyDescent="0.2">
      <c r="A263" s="9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10"/>
    </row>
    <row r="264" spans="1:20" x14ac:dyDescent="0.2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10"/>
    </row>
    <row r="265" spans="1:20" x14ac:dyDescent="0.2">
      <c r="A265" s="9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10"/>
    </row>
    <row r="266" spans="1:20" x14ac:dyDescent="0.2">
      <c r="A266" s="9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10"/>
    </row>
    <row r="267" spans="1:20" x14ac:dyDescent="0.2">
      <c r="A267" s="9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10"/>
    </row>
    <row r="268" spans="1:20" x14ac:dyDescent="0.2">
      <c r="A268" s="9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10"/>
    </row>
    <row r="269" spans="1:20" x14ac:dyDescent="0.2">
      <c r="A269" s="9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10"/>
    </row>
    <row r="270" spans="1:20" x14ac:dyDescent="0.2">
      <c r="A270" s="9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10"/>
    </row>
    <row r="271" spans="1:20" x14ac:dyDescent="0.2">
      <c r="A271" s="9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10"/>
    </row>
    <row r="272" spans="1:20" x14ac:dyDescent="0.2">
      <c r="A272" s="9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10"/>
    </row>
    <row r="273" spans="1:20" x14ac:dyDescent="0.2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10"/>
    </row>
    <row r="274" spans="1:20" x14ac:dyDescent="0.2">
      <c r="A274" s="9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10"/>
    </row>
    <row r="275" spans="1:20" x14ac:dyDescent="0.2">
      <c r="A275" s="9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10"/>
    </row>
    <row r="276" spans="1:20" x14ac:dyDescent="0.2">
      <c r="A276" s="9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10"/>
    </row>
    <row r="277" spans="1:20" x14ac:dyDescent="0.2">
      <c r="A277" s="9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10"/>
    </row>
    <row r="278" spans="1:20" x14ac:dyDescent="0.2">
      <c r="A278" s="9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10"/>
    </row>
    <row r="279" spans="1:20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10"/>
    </row>
    <row r="280" spans="1:20" x14ac:dyDescent="0.2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10"/>
    </row>
    <row r="281" spans="1:20" x14ac:dyDescent="0.2">
      <c r="A281" s="9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10"/>
    </row>
    <row r="282" spans="1:20" x14ac:dyDescent="0.2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10"/>
    </row>
    <row r="283" spans="1:20" x14ac:dyDescent="0.2">
      <c r="A283" s="9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10"/>
    </row>
    <row r="284" spans="1:20" x14ac:dyDescent="0.2">
      <c r="A284" s="9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10"/>
    </row>
    <row r="285" spans="1:20" x14ac:dyDescent="0.2">
      <c r="A285" s="9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10"/>
    </row>
    <row r="286" spans="1:20" x14ac:dyDescent="0.2">
      <c r="A286" s="9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10"/>
    </row>
    <row r="287" spans="1:20" x14ac:dyDescent="0.2">
      <c r="A287" s="9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10"/>
    </row>
    <row r="288" spans="1:20" x14ac:dyDescent="0.2">
      <c r="A288" s="9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10"/>
    </row>
    <row r="289" spans="1:20" x14ac:dyDescent="0.2">
      <c r="A289" s="9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10"/>
    </row>
    <row r="290" spans="1:20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10"/>
    </row>
    <row r="291" spans="1:20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10"/>
    </row>
    <row r="292" spans="1:20" x14ac:dyDescent="0.2">
      <c r="A292" s="9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10"/>
    </row>
    <row r="293" spans="1:20" x14ac:dyDescent="0.2">
      <c r="A293" s="9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10"/>
    </row>
    <row r="294" spans="1:20" x14ac:dyDescent="0.2">
      <c r="A294" s="9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10"/>
    </row>
    <row r="295" spans="1:20" x14ac:dyDescent="0.2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10"/>
    </row>
    <row r="296" spans="1:20" x14ac:dyDescent="0.2">
      <c r="A296" s="9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10"/>
    </row>
    <row r="297" spans="1:20" x14ac:dyDescent="0.2">
      <c r="A297" s="9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10"/>
    </row>
    <row r="298" spans="1:20" x14ac:dyDescent="0.2">
      <c r="A298" s="9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10"/>
    </row>
    <row r="299" spans="1:20" x14ac:dyDescent="0.2">
      <c r="A299" s="9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10"/>
    </row>
    <row r="300" spans="1:20" x14ac:dyDescent="0.2">
      <c r="A300" s="9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10"/>
    </row>
    <row r="301" spans="1:20" x14ac:dyDescent="0.2">
      <c r="A301" s="9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10"/>
    </row>
    <row r="302" spans="1:20" x14ac:dyDescent="0.2">
      <c r="A302" s="9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10"/>
    </row>
    <row r="303" spans="1:20" x14ac:dyDescent="0.2">
      <c r="A303" s="9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10"/>
    </row>
    <row r="304" spans="1:20" x14ac:dyDescent="0.2">
      <c r="A304" s="9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10"/>
    </row>
    <row r="305" spans="1:20" ht="17" thickBot="1" x14ac:dyDescent="0.25">
      <c r="A305" s="11"/>
      <c r="B305" s="12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3"/>
    </row>
  </sheetData>
  <mergeCells count="6">
    <mergeCell ref="A10:T11"/>
    <mergeCell ref="A1:B2"/>
    <mergeCell ref="C1:Q2"/>
    <mergeCell ref="S1:T1"/>
    <mergeCell ref="S2:T2"/>
    <mergeCell ref="D4:S8"/>
  </mergeCells>
  <printOptions horizontalCentered="1"/>
  <pageMargins left="0.25" right="0.25" top="0.75" bottom="0.75" header="0.3" footer="0.3"/>
  <pageSetup paperSize="9" scale="40" fitToHeight="3" orientation="portrait" horizontalDpi="0" verticalDpi="0"/>
  <rowBreaks count="2" manualBreakCount="2">
    <brk id="100" max="19" man="1"/>
    <brk id="219" max="19" man="1"/>
  </rowBreak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83A202-CF24-8540-BD4F-59ADD32CC1DF}">
  <sheetPr>
    <pageSetUpPr fitToPage="1"/>
  </sheetPr>
  <dimension ref="A1:V106"/>
  <sheetViews>
    <sheetView showGridLines="0" view="pageBreakPreview" zoomScaleNormal="100" zoomScaleSheetLayoutView="100" workbookViewId="0">
      <selection activeCell="C86" sqref="C86"/>
    </sheetView>
  </sheetViews>
  <sheetFormatPr baseColWidth="10" defaultRowHeight="16" x14ac:dyDescent="0.2"/>
  <cols>
    <col min="19" max="19" width="14.83203125" customWidth="1"/>
    <col min="20" max="20" width="13.83203125" customWidth="1"/>
  </cols>
  <sheetData>
    <row r="1" spans="1:22" ht="34" customHeight="1" x14ac:dyDescent="0.2">
      <c r="A1" s="308" t="s">
        <v>22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313"/>
      <c r="P1" s="313"/>
      <c r="Q1" s="313"/>
      <c r="R1" s="313"/>
      <c r="S1" s="19" t="s">
        <v>21</v>
      </c>
      <c r="T1" s="278">
        <v>44555</v>
      </c>
      <c r="U1" s="279"/>
    </row>
    <row r="2" spans="1:22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315"/>
      <c r="P2" s="315"/>
      <c r="Q2" s="315"/>
      <c r="R2" s="315"/>
      <c r="S2" s="20" t="s">
        <v>20</v>
      </c>
      <c r="T2" s="280">
        <f ca="1">NOW()</f>
        <v>44575.899132638886</v>
      </c>
      <c r="U2" s="281"/>
    </row>
    <row r="3" spans="1:22" ht="17" thickBot="1" x14ac:dyDescent="0.25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10"/>
    </row>
    <row r="4" spans="1:22" ht="21" customHeight="1" x14ac:dyDescent="0.25">
      <c r="A4" s="17" t="s">
        <v>23</v>
      </c>
      <c r="B4" s="3"/>
      <c r="C4" s="3"/>
      <c r="D4" s="291" t="s">
        <v>98</v>
      </c>
      <c r="E4" s="292"/>
      <c r="F4" s="292"/>
      <c r="G4" s="292"/>
      <c r="H4" s="292"/>
      <c r="I4" s="292"/>
      <c r="J4" s="292"/>
      <c r="K4" s="292"/>
      <c r="L4" s="292"/>
      <c r="M4" s="292"/>
      <c r="N4" s="292"/>
      <c r="O4" s="292"/>
      <c r="P4" s="292"/>
      <c r="Q4" s="292"/>
      <c r="R4" s="292"/>
      <c r="S4" s="292"/>
      <c r="T4" s="293"/>
      <c r="U4" s="10"/>
    </row>
    <row r="5" spans="1:22" ht="16" customHeight="1" x14ac:dyDescent="0.2">
      <c r="A5" s="18" t="s">
        <v>24</v>
      </c>
      <c r="B5" s="3"/>
      <c r="C5" s="3"/>
      <c r="D5" s="294"/>
      <c r="E5" s="295"/>
      <c r="F5" s="295"/>
      <c r="G5" s="295"/>
      <c r="H5" s="295"/>
      <c r="I5" s="295"/>
      <c r="J5" s="295"/>
      <c r="K5" s="295"/>
      <c r="L5" s="295"/>
      <c r="M5" s="295"/>
      <c r="N5" s="295"/>
      <c r="O5" s="295"/>
      <c r="P5" s="295"/>
      <c r="Q5" s="295"/>
      <c r="R5" s="295"/>
      <c r="S5" s="295"/>
      <c r="T5" s="296"/>
      <c r="U5" s="10"/>
    </row>
    <row r="6" spans="1:22" ht="16" customHeight="1" x14ac:dyDescent="0.2">
      <c r="A6" s="9"/>
      <c r="B6" s="3"/>
      <c r="C6" s="3"/>
      <c r="D6" s="294"/>
      <c r="E6" s="295"/>
      <c r="F6" s="295"/>
      <c r="G6" s="295"/>
      <c r="H6" s="295"/>
      <c r="I6" s="295"/>
      <c r="J6" s="295"/>
      <c r="K6" s="295"/>
      <c r="L6" s="295"/>
      <c r="M6" s="295"/>
      <c r="N6" s="295"/>
      <c r="O6" s="295"/>
      <c r="P6" s="295"/>
      <c r="Q6" s="295"/>
      <c r="R6" s="295"/>
      <c r="S6" s="295"/>
      <c r="T6" s="296"/>
      <c r="U6" s="10"/>
    </row>
    <row r="7" spans="1:22" ht="16" customHeight="1" x14ac:dyDescent="0.2">
      <c r="A7" s="9"/>
      <c r="B7" s="3"/>
      <c r="C7" s="3"/>
      <c r="D7" s="294"/>
      <c r="E7" s="295"/>
      <c r="F7" s="295"/>
      <c r="G7" s="295"/>
      <c r="H7" s="295"/>
      <c r="I7" s="295"/>
      <c r="J7" s="295"/>
      <c r="K7" s="295"/>
      <c r="L7" s="295"/>
      <c r="M7" s="295"/>
      <c r="N7" s="295"/>
      <c r="O7" s="295"/>
      <c r="P7" s="295"/>
      <c r="Q7" s="295"/>
      <c r="R7" s="295"/>
      <c r="S7" s="295"/>
      <c r="T7" s="296"/>
      <c r="U7" s="10"/>
    </row>
    <row r="8" spans="1:22" ht="17" customHeight="1" thickBot="1" x14ac:dyDescent="0.25">
      <c r="A8" s="9"/>
      <c r="B8" s="3"/>
      <c r="C8" s="3"/>
      <c r="D8" s="297"/>
      <c r="E8" s="298"/>
      <c r="F8" s="298"/>
      <c r="G8" s="298"/>
      <c r="H8" s="298"/>
      <c r="I8" s="298"/>
      <c r="J8" s="298"/>
      <c r="K8" s="298"/>
      <c r="L8" s="298"/>
      <c r="M8" s="298"/>
      <c r="N8" s="298"/>
      <c r="O8" s="298"/>
      <c r="P8" s="298"/>
      <c r="Q8" s="298"/>
      <c r="R8" s="298"/>
      <c r="S8" s="298"/>
      <c r="T8" s="299"/>
      <c r="U8" s="10"/>
    </row>
    <row r="9" spans="1:22" x14ac:dyDescent="0.2">
      <c r="A9" s="9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10"/>
    </row>
    <row r="10" spans="1:22" x14ac:dyDescent="0.2">
      <c r="A10" s="300" t="s">
        <v>25</v>
      </c>
      <c r="B10" s="301"/>
      <c r="C10" s="301"/>
      <c r="D10" s="301"/>
      <c r="E10" s="301"/>
      <c r="F10" s="301"/>
      <c r="G10" s="301"/>
      <c r="H10" s="301"/>
      <c r="I10" s="301"/>
      <c r="J10" s="301"/>
      <c r="K10" s="301"/>
      <c r="L10" s="301"/>
      <c r="M10" s="301"/>
      <c r="N10" s="301"/>
      <c r="O10" s="301"/>
      <c r="P10" s="301"/>
      <c r="Q10" s="301"/>
      <c r="R10" s="301"/>
      <c r="S10" s="301"/>
      <c r="T10" s="301"/>
      <c r="U10" s="302"/>
    </row>
    <row r="11" spans="1:22" x14ac:dyDescent="0.2">
      <c r="A11" s="303"/>
      <c r="B11" s="304"/>
      <c r="C11" s="304"/>
      <c r="D11" s="304"/>
      <c r="E11" s="304"/>
      <c r="F11" s="304"/>
      <c r="G11" s="304"/>
      <c r="H11" s="304"/>
      <c r="I11" s="304"/>
      <c r="J11" s="304"/>
      <c r="K11" s="304"/>
      <c r="L11" s="304"/>
      <c r="M11" s="304"/>
      <c r="N11" s="304"/>
      <c r="O11" s="304"/>
      <c r="P11" s="304"/>
      <c r="Q11" s="304"/>
      <c r="R11" s="304"/>
      <c r="S11" s="304"/>
      <c r="T11" s="304"/>
      <c r="U11" s="305"/>
    </row>
    <row r="12" spans="1:22" x14ac:dyDescent="0.2">
      <c r="A12" s="9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10"/>
    </row>
    <row r="13" spans="1:22" s="2" customFormat="1" ht="24" x14ac:dyDescent="0.3">
      <c r="A13" s="15"/>
      <c r="B13" s="14" t="s">
        <v>26</v>
      </c>
      <c r="C13" s="58" t="s">
        <v>99</v>
      </c>
      <c r="D13" s="14"/>
      <c r="E13" s="14"/>
      <c r="F13" s="14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14"/>
      <c r="T13" s="14"/>
      <c r="U13" s="22"/>
    </row>
    <row r="14" spans="1:22" x14ac:dyDescent="0.2">
      <c r="A14" s="9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10"/>
    </row>
    <row r="15" spans="1:22" x14ac:dyDescent="0.2">
      <c r="A15" s="9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10"/>
    </row>
    <row r="16" spans="1:22" x14ac:dyDescent="0.2">
      <c r="A16" s="105"/>
      <c r="B16" s="106"/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  <c r="P16" s="106"/>
      <c r="Q16" s="106"/>
      <c r="R16" s="106"/>
      <c r="S16" s="106"/>
      <c r="T16" s="106"/>
      <c r="U16" s="107"/>
      <c r="V16" s="106"/>
    </row>
    <row r="17" spans="1:22" x14ac:dyDescent="0.2">
      <c r="A17" s="105"/>
      <c r="B17" s="106"/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  <c r="P17" s="106"/>
      <c r="Q17" s="106"/>
      <c r="R17" s="106"/>
      <c r="S17" s="106"/>
      <c r="T17" s="106"/>
      <c r="U17" s="107"/>
      <c r="V17" s="106"/>
    </row>
    <row r="18" spans="1:22" x14ac:dyDescent="0.2">
      <c r="A18" s="105"/>
      <c r="B18" s="106"/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  <c r="P18" s="106"/>
      <c r="Q18" s="106"/>
      <c r="R18" s="106"/>
      <c r="S18" s="106"/>
      <c r="T18" s="106"/>
      <c r="U18" s="107"/>
      <c r="V18" s="106"/>
    </row>
    <row r="19" spans="1:22" x14ac:dyDescent="0.2">
      <c r="A19" s="105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106"/>
      <c r="R19" s="106"/>
      <c r="S19" s="106"/>
      <c r="T19" s="106"/>
      <c r="U19" s="107"/>
      <c r="V19" s="106"/>
    </row>
    <row r="20" spans="1:22" x14ac:dyDescent="0.2">
      <c r="A20" s="105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6"/>
      <c r="S20" s="106"/>
      <c r="T20" s="106"/>
      <c r="U20" s="107"/>
      <c r="V20" s="106"/>
    </row>
    <row r="21" spans="1:22" x14ac:dyDescent="0.2">
      <c r="A21" s="105"/>
      <c r="B21" s="106"/>
      <c r="C21" s="106"/>
      <c r="D21" s="106"/>
      <c r="E21" s="106"/>
      <c r="F21" s="106"/>
      <c r="G21" s="106"/>
      <c r="H21" s="106"/>
      <c r="I21" s="106"/>
      <c r="J21" s="106"/>
      <c r="K21" s="106"/>
      <c r="L21" s="106"/>
      <c r="M21" s="106"/>
      <c r="N21" s="106"/>
      <c r="O21" s="106"/>
      <c r="P21" s="106"/>
      <c r="Q21" s="106"/>
      <c r="R21" s="106"/>
      <c r="S21" s="106"/>
      <c r="T21" s="106"/>
      <c r="U21" s="107"/>
      <c r="V21" s="106"/>
    </row>
    <row r="22" spans="1:22" x14ac:dyDescent="0.2">
      <c r="A22" s="105"/>
      <c r="B22" s="106"/>
      <c r="C22" s="106"/>
      <c r="D22" s="106"/>
      <c r="E22" s="106"/>
      <c r="F22" s="106"/>
      <c r="G22" s="106"/>
      <c r="H22" s="106"/>
      <c r="I22" s="106"/>
      <c r="J22" s="106"/>
      <c r="K22" s="106"/>
      <c r="L22" s="106"/>
      <c r="M22" s="106"/>
      <c r="N22" s="106"/>
      <c r="O22" s="106"/>
      <c r="P22" s="106"/>
      <c r="Q22" s="106"/>
      <c r="R22" s="106"/>
      <c r="S22" s="106"/>
      <c r="T22" s="106"/>
      <c r="U22" s="107"/>
      <c r="V22" s="106"/>
    </row>
    <row r="23" spans="1:22" x14ac:dyDescent="0.2">
      <c r="A23" s="105"/>
      <c r="B23" s="106"/>
      <c r="C23" s="106"/>
      <c r="D23" s="106"/>
      <c r="E23" s="106"/>
      <c r="F23" s="106"/>
      <c r="G23" s="106"/>
      <c r="H23" s="106"/>
      <c r="I23" s="106"/>
      <c r="J23" s="106"/>
      <c r="K23" s="106"/>
      <c r="L23" s="106"/>
      <c r="M23" s="106"/>
      <c r="N23" s="106"/>
      <c r="O23" s="106"/>
      <c r="P23" s="106"/>
      <c r="Q23" s="106"/>
      <c r="R23" s="106"/>
      <c r="S23" s="106"/>
      <c r="T23" s="106"/>
      <c r="U23" s="107"/>
      <c r="V23" s="106"/>
    </row>
    <row r="24" spans="1:22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10"/>
    </row>
    <row r="25" spans="1:22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10"/>
    </row>
    <row r="26" spans="1:22" x14ac:dyDescent="0.2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10"/>
    </row>
    <row r="27" spans="1:22" x14ac:dyDescent="0.2">
      <c r="A27" s="9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10"/>
    </row>
    <row r="28" spans="1:22" x14ac:dyDescent="0.2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10"/>
    </row>
    <row r="29" spans="1:22" x14ac:dyDescent="0.2">
      <c r="A29" s="9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10"/>
    </row>
    <row r="30" spans="1:22" x14ac:dyDescent="0.2">
      <c r="A30" s="9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10"/>
    </row>
    <row r="31" spans="1:22" x14ac:dyDescent="0.2">
      <c r="A31" s="9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10"/>
    </row>
    <row r="32" spans="1:22" x14ac:dyDescent="0.2">
      <c r="A32" s="9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10"/>
    </row>
    <row r="33" spans="1:21" x14ac:dyDescent="0.2">
      <c r="A33" s="9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10"/>
    </row>
    <row r="34" spans="1:21" x14ac:dyDescent="0.2">
      <c r="A34" s="9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10"/>
    </row>
    <row r="35" spans="1:21" ht="16" customHeight="1" x14ac:dyDescent="0.2">
      <c r="A35" s="9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10"/>
    </row>
    <row r="36" spans="1:21" ht="16" customHeight="1" thickBot="1" x14ac:dyDescent="0.25">
      <c r="A36" s="11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3"/>
    </row>
    <row r="37" spans="1:21" ht="16" customHeight="1" x14ac:dyDescent="0.2">
      <c r="A37" s="6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8"/>
    </row>
    <row r="38" spans="1:21" ht="16" customHeight="1" x14ac:dyDescent="0.2">
      <c r="A38" s="9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10"/>
    </row>
    <row r="39" spans="1:21" ht="17" customHeight="1" x14ac:dyDescent="0.2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10"/>
    </row>
    <row r="40" spans="1:21" x14ac:dyDescent="0.2">
      <c r="A40" s="9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10"/>
    </row>
    <row r="41" spans="1:21" x14ac:dyDescent="0.2">
      <c r="A41" s="9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10"/>
    </row>
    <row r="42" spans="1:21" x14ac:dyDescent="0.2">
      <c r="A42" s="9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10"/>
    </row>
    <row r="43" spans="1:21" x14ac:dyDescent="0.2">
      <c r="A43" s="9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10"/>
    </row>
    <row r="44" spans="1:21" x14ac:dyDescent="0.2">
      <c r="A44" s="9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10"/>
    </row>
    <row r="45" spans="1:21" x14ac:dyDescent="0.2">
      <c r="A45" s="9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10"/>
    </row>
    <row r="46" spans="1:21" x14ac:dyDescent="0.2">
      <c r="A46" s="9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10"/>
    </row>
    <row r="47" spans="1:21" x14ac:dyDescent="0.2">
      <c r="A47" s="9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10"/>
    </row>
    <row r="48" spans="1:21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10"/>
    </row>
    <row r="49" spans="1:21" x14ac:dyDescent="0.2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10"/>
    </row>
    <row r="50" spans="1:21" x14ac:dyDescent="0.2">
      <c r="A50" s="9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10"/>
    </row>
    <row r="51" spans="1:21" x14ac:dyDescent="0.2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10"/>
    </row>
    <row r="52" spans="1:21" x14ac:dyDescent="0.2">
      <c r="A52" s="9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10"/>
    </row>
    <row r="53" spans="1:21" x14ac:dyDescent="0.2">
      <c r="A53" s="9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10"/>
    </row>
    <row r="54" spans="1:21" x14ac:dyDescent="0.2">
      <c r="A54" s="9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10"/>
    </row>
    <row r="55" spans="1:21" x14ac:dyDescent="0.2">
      <c r="A55" s="9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10"/>
    </row>
    <row r="56" spans="1:21" x14ac:dyDescent="0.2">
      <c r="A56" s="9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10"/>
    </row>
    <row r="57" spans="1:21" x14ac:dyDescent="0.2">
      <c r="A57" s="9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10"/>
    </row>
    <row r="58" spans="1:21" x14ac:dyDescent="0.2">
      <c r="A58" s="9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10"/>
    </row>
    <row r="59" spans="1:21" x14ac:dyDescent="0.2">
      <c r="A59" s="9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10"/>
    </row>
    <row r="60" spans="1:21" x14ac:dyDescent="0.2">
      <c r="A60" s="9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10"/>
    </row>
    <row r="61" spans="1:21" x14ac:dyDescent="0.2">
      <c r="A61" s="9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10"/>
    </row>
    <row r="62" spans="1:21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10"/>
    </row>
    <row r="63" spans="1:21" x14ac:dyDescent="0.2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10"/>
    </row>
    <row r="64" spans="1:21" x14ac:dyDescent="0.2">
      <c r="A64" s="9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10"/>
    </row>
    <row r="65" spans="1:21" x14ac:dyDescent="0.2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10"/>
    </row>
    <row r="66" spans="1:21" ht="17" thickBot="1" x14ac:dyDescent="0.25">
      <c r="A66" s="11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3"/>
    </row>
    <row r="67" spans="1:21" x14ac:dyDescent="0.2">
      <c r="A67" s="9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10"/>
    </row>
    <row r="68" spans="1:21" x14ac:dyDescent="0.2">
      <c r="A68" s="9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10"/>
    </row>
    <row r="69" spans="1:21" x14ac:dyDescent="0.2">
      <c r="A69" s="9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10"/>
    </row>
    <row r="70" spans="1:21" x14ac:dyDescent="0.2">
      <c r="A70" s="9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10"/>
    </row>
    <row r="71" spans="1:21" x14ac:dyDescent="0.2">
      <c r="A71" s="9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10"/>
    </row>
    <row r="72" spans="1:21" x14ac:dyDescent="0.2">
      <c r="A72" s="9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10"/>
    </row>
    <row r="73" spans="1:21" x14ac:dyDescent="0.2">
      <c r="A73" s="9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10"/>
    </row>
    <row r="74" spans="1:21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10"/>
    </row>
    <row r="75" spans="1:21" x14ac:dyDescent="0.2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10"/>
    </row>
    <row r="76" spans="1:21" x14ac:dyDescent="0.2">
      <c r="A76" s="9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10"/>
    </row>
    <row r="77" spans="1:21" x14ac:dyDescent="0.2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10"/>
    </row>
    <row r="78" spans="1:21" x14ac:dyDescent="0.2">
      <c r="A78" s="9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10"/>
    </row>
    <row r="79" spans="1:21" x14ac:dyDescent="0.2">
      <c r="A79" s="9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10"/>
    </row>
    <row r="80" spans="1:21" x14ac:dyDescent="0.2">
      <c r="A80" s="9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10"/>
    </row>
    <row r="81" spans="1:21" x14ac:dyDescent="0.2">
      <c r="A81" s="9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10"/>
    </row>
    <row r="82" spans="1:21" x14ac:dyDescent="0.2">
      <c r="A82" s="9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10"/>
    </row>
    <row r="83" spans="1:21" x14ac:dyDescent="0.2">
      <c r="A83" s="9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10"/>
    </row>
    <row r="84" spans="1:21" x14ac:dyDescent="0.2">
      <c r="A84" s="9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10"/>
    </row>
    <row r="85" spans="1:21" x14ac:dyDescent="0.2">
      <c r="A85" s="9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10"/>
    </row>
    <row r="86" spans="1:21" x14ac:dyDescent="0.2">
      <c r="A86" s="9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10"/>
    </row>
    <row r="87" spans="1:21" x14ac:dyDescent="0.2">
      <c r="A87" s="9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10"/>
    </row>
    <row r="88" spans="1:21" x14ac:dyDescent="0.2">
      <c r="A88" s="9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10"/>
    </row>
    <row r="89" spans="1:21" x14ac:dyDescent="0.2">
      <c r="A89" s="9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10"/>
    </row>
    <row r="90" spans="1:21" x14ac:dyDescent="0.2">
      <c r="A90" s="9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10"/>
    </row>
    <row r="91" spans="1:21" x14ac:dyDescent="0.2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10"/>
    </row>
    <row r="92" spans="1:21" x14ac:dyDescent="0.2">
      <c r="A92" s="9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10"/>
    </row>
    <row r="93" spans="1:21" x14ac:dyDescent="0.2">
      <c r="A93" s="9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10"/>
    </row>
    <row r="94" spans="1:21" x14ac:dyDescent="0.2">
      <c r="A94" s="9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10"/>
    </row>
    <row r="95" spans="1:21" ht="17" thickBot="1" x14ac:dyDescent="0.25">
      <c r="A95" s="11"/>
      <c r="B95" s="12"/>
      <c r="C95" s="12"/>
      <c r="D95" s="12"/>
      <c r="E95" s="12"/>
      <c r="F95" s="12"/>
      <c r="G95" s="12"/>
      <c r="H95" s="12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  <c r="T95" s="12"/>
      <c r="U95" s="13"/>
    </row>
    <row r="106" spans="12:15" x14ac:dyDescent="0.2">
      <c r="L106" s="3"/>
      <c r="M106" s="3"/>
      <c r="N106" s="3"/>
      <c r="O106" s="3"/>
    </row>
  </sheetData>
  <mergeCells count="6">
    <mergeCell ref="A10:U11"/>
    <mergeCell ref="A1:B2"/>
    <mergeCell ref="C1:R2"/>
    <mergeCell ref="T1:U1"/>
    <mergeCell ref="T2:U2"/>
    <mergeCell ref="D4:T8"/>
  </mergeCells>
  <printOptions horizontalCentered="1"/>
  <pageMargins left="0.25" right="0.25" top="0.75" bottom="0.75" header="0.3" footer="0.3"/>
  <pageSetup paperSize="9" scale="39" orientation="portrait" horizontalDpi="0" verticalDpi="0"/>
  <colBreaks count="1" manualBreakCount="1">
    <brk id="21" max="1048575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E38A7-57DB-294A-9E53-5A2AA165648E}">
  <dimension ref="A1:Q71"/>
  <sheetViews>
    <sheetView showGridLines="0" view="pageBreakPreview" topLeftCell="C1" zoomScaleNormal="100" zoomScaleSheetLayoutView="100" workbookViewId="0">
      <selection sqref="A1:B2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7" ht="34" customHeight="1" x14ac:dyDescent="0.2">
      <c r="A1" s="308" t="s">
        <v>27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7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44575.899132638886</v>
      </c>
      <c r="Q2" s="281"/>
    </row>
    <row r="3" spans="1:17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7" x14ac:dyDescent="0.2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7" s="2" customFormat="1" ht="24" x14ac:dyDescent="0.3">
      <c r="A5" s="23" t="s">
        <v>28</v>
      </c>
      <c r="B5" s="14"/>
      <c r="C5" s="21"/>
      <c r="D5" s="14" t="s">
        <v>54</v>
      </c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7" x14ac:dyDescent="0.2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10"/>
    </row>
    <row r="7" spans="1:17" x14ac:dyDescent="0.2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10"/>
    </row>
    <row r="8" spans="1:17" x14ac:dyDescent="0.2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10"/>
    </row>
    <row r="9" spans="1:17" x14ac:dyDescent="0.2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10"/>
    </row>
    <row r="10" spans="1:17" x14ac:dyDescent="0.2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10"/>
    </row>
    <row r="11" spans="1:17" x14ac:dyDescent="0.2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10"/>
    </row>
    <row r="12" spans="1:17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10"/>
    </row>
    <row r="13" spans="1:17" x14ac:dyDescent="0.2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10"/>
    </row>
    <row r="14" spans="1:17" x14ac:dyDescent="0.2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10"/>
    </row>
    <row r="15" spans="1:17" x14ac:dyDescent="0.2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10"/>
    </row>
    <row r="16" spans="1:17" x14ac:dyDescent="0.2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10"/>
    </row>
    <row r="17" spans="1:17" x14ac:dyDescent="0.2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10"/>
    </row>
    <row r="18" spans="1:17" x14ac:dyDescent="0.2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10"/>
    </row>
    <row r="19" spans="1:17" x14ac:dyDescent="0.2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10"/>
    </row>
    <row r="20" spans="1:17" x14ac:dyDescent="0.2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0"/>
    </row>
    <row r="21" spans="1:17" x14ac:dyDescent="0.2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0"/>
    </row>
    <row r="22" spans="1:17" x14ac:dyDescent="0.2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10"/>
    </row>
    <row r="23" spans="1:17" x14ac:dyDescent="0.2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10"/>
    </row>
    <row r="24" spans="1:17" x14ac:dyDescent="0.2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10"/>
    </row>
    <row r="25" spans="1:17" x14ac:dyDescent="0.2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10"/>
    </row>
    <row r="26" spans="1:17" x14ac:dyDescent="0.2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10"/>
    </row>
    <row r="27" spans="1:17" x14ac:dyDescent="0.2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10"/>
    </row>
    <row r="28" spans="1:17" x14ac:dyDescent="0.2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10"/>
    </row>
    <row r="29" spans="1:17" x14ac:dyDescent="0.2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10"/>
    </row>
    <row r="30" spans="1:17" x14ac:dyDescent="0.2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10"/>
    </row>
    <row r="31" spans="1:17" x14ac:dyDescent="0.2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10"/>
    </row>
    <row r="32" spans="1:17" x14ac:dyDescent="0.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10"/>
    </row>
    <row r="33" spans="1:17" x14ac:dyDescent="0.2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10"/>
    </row>
    <row r="34" spans="1:17" x14ac:dyDescent="0.2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10"/>
    </row>
    <row r="35" spans="1:17" x14ac:dyDescent="0.2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10"/>
    </row>
    <row r="36" spans="1:17" x14ac:dyDescent="0.2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10"/>
    </row>
    <row r="37" spans="1:17" x14ac:dyDescent="0.2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10"/>
    </row>
    <row r="38" spans="1:17" x14ac:dyDescent="0.2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10"/>
    </row>
    <row r="39" spans="1:17" x14ac:dyDescent="0.2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10"/>
    </row>
    <row r="40" spans="1:17" x14ac:dyDescent="0.2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10"/>
    </row>
    <row r="41" spans="1:17" x14ac:dyDescent="0.2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10"/>
    </row>
    <row r="42" spans="1:17" x14ac:dyDescent="0.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10"/>
    </row>
    <row r="43" spans="1:17" x14ac:dyDescent="0.2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10"/>
    </row>
    <row r="44" spans="1:17" x14ac:dyDescent="0.2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10"/>
    </row>
    <row r="45" spans="1:17" x14ac:dyDescent="0.2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10"/>
    </row>
    <row r="46" spans="1:17" x14ac:dyDescent="0.2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10"/>
    </row>
    <row r="47" spans="1:17" x14ac:dyDescent="0.2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10"/>
    </row>
    <row r="48" spans="1:17" x14ac:dyDescent="0.2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10"/>
    </row>
    <row r="49" spans="1:17" x14ac:dyDescent="0.2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10"/>
    </row>
    <row r="50" spans="1:17" x14ac:dyDescent="0.2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10"/>
    </row>
    <row r="51" spans="1:17" x14ac:dyDescent="0.2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10"/>
    </row>
    <row r="52" spans="1:17" x14ac:dyDescent="0.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10"/>
    </row>
    <row r="53" spans="1:17" x14ac:dyDescent="0.2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10"/>
    </row>
    <row r="54" spans="1:17" x14ac:dyDescent="0.2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10"/>
    </row>
    <row r="55" spans="1:17" x14ac:dyDescent="0.2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10"/>
    </row>
    <row r="56" spans="1:17" x14ac:dyDescent="0.2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10"/>
    </row>
    <row r="57" spans="1:17" x14ac:dyDescent="0.2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10"/>
    </row>
    <row r="58" spans="1:17" x14ac:dyDescent="0.2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10"/>
    </row>
    <row r="59" spans="1:17" x14ac:dyDescent="0.2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10"/>
    </row>
    <row r="60" spans="1:17" x14ac:dyDescent="0.2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10"/>
    </row>
    <row r="61" spans="1:17" x14ac:dyDescent="0.2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10"/>
    </row>
    <row r="62" spans="1:17" x14ac:dyDescent="0.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10"/>
    </row>
    <row r="63" spans="1:17" x14ac:dyDescent="0.2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10"/>
    </row>
    <row r="64" spans="1:17" x14ac:dyDescent="0.2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10"/>
    </row>
    <row r="65" spans="1:17" x14ac:dyDescent="0.2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10"/>
    </row>
    <row r="66" spans="1:17" x14ac:dyDescent="0.2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10"/>
    </row>
    <row r="67" spans="1:17" x14ac:dyDescent="0.2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10"/>
    </row>
    <row r="68" spans="1:17" x14ac:dyDescent="0.2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10"/>
    </row>
    <row r="69" spans="1:17" x14ac:dyDescent="0.2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10"/>
    </row>
    <row r="70" spans="1:17" x14ac:dyDescent="0.2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10"/>
    </row>
    <row r="71" spans="1:17" ht="17" thickBot="1" x14ac:dyDescent="0.25">
      <c r="A71" s="11"/>
      <c r="B71" s="12"/>
      <c r="C71" s="12"/>
      <c r="D71" s="12"/>
      <c r="E71" s="12"/>
      <c r="F71" s="12"/>
      <c r="G71" s="12"/>
      <c r="H71" s="12"/>
      <c r="I71" s="3"/>
      <c r="J71" s="12"/>
      <c r="K71" s="12"/>
      <c r="L71" s="12"/>
      <c r="M71" s="12"/>
      <c r="N71" s="12"/>
      <c r="O71" s="12"/>
      <c r="P71" s="12"/>
      <c r="Q71" s="13"/>
    </row>
  </sheetData>
  <mergeCells count="4">
    <mergeCell ref="A1:B2"/>
    <mergeCell ref="C1:N2"/>
    <mergeCell ref="P1:Q1"/>
    <mergeCell ref="P2:Q2"/>
  </mergeCells>
  <pageMargins left="0.7" right="0.7" top="0.75" bottom="0.75" header="0.3" footer="0.3"/>
  <pageSetup paperSize="9" scale="43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6B41D3-3966-FF4F-956B-8F55AAD5228D}">
  <sheetPr>
    <pageSetUpPr fitToPage="1"/>
  </sheetPr>
  <dimension ref="A1:S62"/>
  <sheetViews>
    <sheetView showGridLines="0" view="pageBreakPreview" zoomScaleNormal="100" zoomScaleSheetLayoutView="100" workbookViewId="0">
      <selection activeCell="L24" sqref="L24"/>
    </sheetView>
  </sheetViews>
  <sheetFormatPr baseColWidth="10" defaultRowHeight="16" x14ac:dyDescent="0.2"/>
  <cols>
    <col min="15" max="15" width="14.83203125" customWidth="1"/>
    <col min="16" max="16" width="13.83203125" customWidth="1"/>
  </cols>
  <sheetData>
    <row r="1" spans="1:19" ht="34" customHeight="1" x14ac:dyDescent="0.2">
      <c r="A1" s="268" t="s">
        <v>126</v>
      </c>
      <c r="B1" s="26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313"/>
      <c r="O1" s="19" t="s">
        <v>21</v>
      </c>
      <c r="P1" s="278">
        <v>44555</v>
      </c>
      <c r="Q1" s="279"/>
    </row>
    <row r="2" spans="1:19" ht="34" customHeight="1" thickBot="1" x14ac:dyDescent="0.25">
      <c r="A2" s="270"/>
      <c r="B2" s="27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315"/>
      <c r="O2" s="20" t="s">
        <v>20</v>
      </c>
      <c r="P2" s="280">
        <f ca="1">NOW()</f>
        <v>44575.899132638886</v>
      </c>
      <c r="Q2" s="281"/>
    </row>
    <row r="3" spans="1:19" x14ac:dyDescent="0.2">
      <c r="A3" s="9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10"/>
    </row>
    <row r="4" spans="1:19" x14ac:dyDescent="0.2">
      <c r="A4" s="9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10"/>
    </row>
    <row r="5" spans="1:19" s="2" customFormat="1" ht="24" x14ac:dyDescent="0.3">
      <c r="A5" s="35"/>
      <c r="B5" s="67" t="s">
        <v>129</v>
      </c>
      <c r="C5" s="21"/>
      <c r="D5" s="14"/>
      <c r="E5" s="14"/>
      <c r="F5" s="14"/>
      <c r="G5" s="14"/>
      <c r="H5" s="14"/>
      <c r="I5" s="14"/>
      <c r="J5" s="14"/>
      <c r="K5" s="14"/>
      <c r="L5" s="14"/>
      <c r="M5" s="21"/>
      <c r="N5" s="14"/>
      <c r="O5" s="14"/>
      <c r="P5" s="14"/>
      <c r="Q5" s="22"/>
    </row>
    <row r="6" spans="1:19" ht="24" x14ac:dyDescent="0.3">
      <c r="A6" s="206"/>
      <c r="B6" s="44"/>
      <c r="C6" s="44">
        <v>1</v>
      </c>
      <c r="D6" s="205" t="s">
        <v>177</v>
      </c>
      <c r="E6" s="205"/>
      <c r="F6" s="205"/>
      <c r="G6" s="205"/>
      <c r="H6" s="205"/>
      <c r="I6" s="205"/>
      <c r="J6" s="205"/>
      <c r="K6" s="44"/>
      <c r="L6" s="44"/>
      <c r="M6" s="44"/>
      <c r="N6" s="44"/>
      <c r="O6" s="44"/>
      <c r="P6" s="44"/>
      <c r="Q6" s="201"/>
      <c r="R6" s="62"/>
      <c r="S6" s="62"/>
    </row>
    <row r="7" spans="1:19" ht="24" x14ac:dyDescent="0.3">
      <c r="A7" s="206"/>
      <c r="B7" s="44"/>
      <c r="C7" s="44">
        <v>2</v>
      </c>
      <c r="D7" s="205" t="s">
        <v>130</v>
      </c>
      <c r="E7" s="205"/>
      <c r="F7" s="205"/>
      <c r="G7" s="205"/>
      <c r="H7" s="205"/>
      <c r="I7" s="205"/>
      <c r="J7" s="205"/>
      <c r="K7" s="44"/>
      <c r="L7" s="44"/>
      <c r="M7" s="44"/>
      <c r="N7" s="44"/>
      <c r="O7" s="44"/>
      <c r="P7" s="44"/>
      <c r="Q7" s="201"/>
      <c r="R7" s="62"/>
      <c r="S7" s="62"/>
    </row>
    <row r="8" spans="1:19" ht="24" x14ac:dyDescent="0.3">
      <c r="A8" s="206"/>
      <c r="B8" s="44"/>
      <c r="C8" s="44">
        <v>3</v>
      </c>
      <c r="D8" s="205" t="s">
        <v>131</v>
      </c>
      <c r="E8" s="205"/>
      <c r="F8" s="205"/>
      <c r="G8" s="205"/>
      <c r="H8" s="205"/>
      <c r="I8" s="205"/>
      <c r="J8" s="205"/>
      <c r="K8" s="44"/>
      <c r="L8" s="44"/>
      <c r="M8" s="44"/>
      <c r="N8" s="44"/>
      <c r="O8" s="44"/>
      <c r="P8" s="44"/>
      <c r="Q8" s="201"/>
      <c r="R8" s="62"/>
      <c r="S8" s="62"/>
    </row>
    <row r="9" spans="1:19" ht="24" x14ac:dyDescent="0.3">
      <c r="A9" s="206"/>
      <c r="B9" s="44"/>
      <c r="C9" s="44">
        <v>4</v>
      </c>
      <c r="D9" s="205" t="s">
        <v>132</v>
      </c>
      <c r="E9" s="205"/>
      <c r="F9" s="205"/>
      <c r="G9" s="205"/>
      <c r="H9" s="205"/>
      <c r="I9" s="205"/>
      <c r="J9" s="205"/>
      <c r="K9" s="44"/>
      <c r="L9" s="44"/>
      <c r="M9" s="44"/>
      <c r="N9" s="44"/>
      <c r="O9" s="44"/>
      <c r="P9" s="44"/>
      <c r="Q9" s="201"/>
      <c r="R9" s="62"/>
      <c r="S9" s="62"/>
    </row>
    <row r="10" spans="1:19" ht="24" x14ac:dyDescent="0.3">
      <c r="A10" s="206"/>
      <c r="B10" s="44"/>
      <c r="C10" s="44">
        <v>5</v>
      </c>
      <c r="D10" s="205" t="s">
        <v>133</v>
      </c>
      <c r="E10" s="205"/>
      <c r="F10" s="205"/>
      <c r="G10" s="205"/>
      <c r="H10" s="205"/>
      <c r="I10" s="205"/>
      <c r="J10" s="205"/>
      <c r="K10" s="44"/>
      <c r="L10" s="44"/>
      <c r="M10" s="44"/>
      <c r="N10" s="44"/>
      <c r="O10" s="44"/>
      <c r="P10" s="44"/>
      <c r="Q10" s="201"/>
      <c r="R10" s="62"/>
      <c r="S10" s="62"/>
    </row>
    <row r="11" spans="1:19" ht="24" x14ac:dyDescent="0.3">
      <c r="A11" s="206"/>
      <c r="B11" s="44"/>
      <c r="C11" s="44">
        <v>6</v>
      </c>
      <c r="D11" s="205" t="s">
        <v>134</v>
      </c>
      <c r="E11" s="205"/>
      <c r="F11" s="205"/>
      <c r="G11" s="205"/>
      <c r="H11" s="205"/>
      <c r="I11" s="205"/>
      <c r="J11" s="205"/>
      <c r="K11" s="44"/>
      <c r="L11" s="44"/>
      <c r="M11" s="44"/>
      <c r="N11" s="44"/>
      <c r="O11" s="44"/>
      <c r="P11" s="44"/>
      <c r="Q11" s="201"/>
      <c r="R11" s="62"/>
      <c r="S11" s="62"/>
    </row>
    <row r="12" spans="1:19" ht="24" x14ac:dyDescent="0.3">
      <c r="A12" s="206"/>
      <c r="B12" s="44"/>
      <c r="C12" s="44"/>
      <c r="D12" s="204" t="s">
        <v>135</v>
      </c>
      <c r="E12" s="204"/>
      <c r="F12" s="204"/>
      <c r="G12" s="204"/>
      <c r="H12" s="204"/>
      <c r="I12" s="44"/>
      <c r="J12" s="44"/>
      <c r="K12" s="44"/>
      <c r="L12" s="44"/>
      <c r="M12" s="44"/>
      <c r="N12" s="44"/>
      <c r="O12" s="44"/>
      <c r="P12" s="44"/>
      <c r="Q12" s="201"/>
      <c r="R12" s="62"/>
      <c r="S12" s="62"/>
    </row>
    <row r="13" spans="1:19" ht="24" x14ac:dyDescent="0.3">
      <c r="A13" s="206"/>
      <c r="B13" s="44"/>
      <c r="C13" s="44"/>
      <c r="D13" s="204" t="s">
        <v>172</v>
      </c>
      <c r="E13" s="204"/>
      <c r="F13" s="204"/>
      <c r="G13" s="204"/>
      <c r="H13" s="204"/>
      <c r="I13" s="44"/>
      <c r="J13" s="44"/>
      <c r="K13" s="44"/>
      <c r="L13" s="44"/>
      <c r="M13" s="44"/>
      <c r="N13" s="44"/>
      <c r="O13" s="44"/>
      <c r="P13" s="44"/>
      <c r="Q13" s="201"/>
      <c r="R13" s="62"/>
      <c r="S13" s="62"/>
    </row>
    <row r="14" spans="1:19" ht="24" x14ac:dyDescent="0.3">
      <c r="A14" s="206"/>
      <c r="B14" s="44"/>
      <c r="C14" s="44"/>
      <c r="D14" s="204" t="s">
        <v>173</v>
      </c>
      <c r="E14" s="204"/>
      <c r="F14" s="204"/>
      <c r="G14" s="204"/>
      <c r="H14" s="204"/>
      <c r="I14" s="44"/>
      <c r="J14" s="44"/>
      <c r="K14" s="44"/>
      <c r="L14" s="44"/>
      <c r="M14" s="44"/>
      <c r="N14" s="44"/>
      <c r="O14" s="44"/>
      <c r="P14" s="44"/>
      <c r="Q14" s="201"/>
      <c r="R14" s="62"/>
      <c r="S14" s="62"/>
    </row>
    <row r="15" spans="1:19" ht="24" x14ac:dyDescent="0.3">
      <c r="A15" s="206"/>
      <c r="B15" s="44"/>
      <c r="C15" s="44"/>
      <c r="D15" s="204" t="s">
        <v>174</v>
      </c>
      <c r="E15" s="204"/>
      <c r="F15" s="204"/>
      <c r="G15" s="204"/>
      <c r="H15" s="204"/>
      <c r="I15" s="44"/>
      <c r="J15" s="44"/>
      <c r="K15" s="44"/>
      <c r="L15" s="44"/>
      <c r="M15" s="44"/>
      <c r="N15" s="44"/>
      <c r="O15" s="44"/>
      <c r="P15" s="44"/>
      <c r="Q15" s="201"/>
      <c r="R15" s="62"/>
      <c r="S15" s="62"/>
    </row>
    <row r="16" spans="1:19" ht="24" x14ac:dyDescent="0.3">
      <c r="A16" s="206"/>
      <c r="B16" s="44"/>
      <c r="C16" s="44"/>
      <c r="D16" s="204" t="s">
        <v>136</v>
      </c>
      <c r="E16" s="204"/>
      <c r="F16" s="204"/>
      <c r="G16" s="204"/>
      <c r="H16" s="204"/>
      <c r="I16" s="44"/>
      <c r="J16" s="44"/>
      <c r="K16" s="44"/>
      <c r="L16" s="44"/>
      <c r="M16" s="44"/>
      <c r="N16" s="44"/>
      <c r="O16" s="44"/>
      <c r="P16" s="44"/>
      <c r="Q16" s="201"/>
      <c r="R16" s="62"/>
      <c r="S16" s="62"/>
    </row>
    <row r="17" spans="1:19" ht="24" x14ac:dyDescent="0.3">
      <c r="A17" s="206"/>
      <c r="B17" s="44"/>
      <c r="C17" s="44"/>
      <c r="D17" s="204" t="s">
        <v>137</v>
      </c>
      <c r="E17" s="204"/>
      <c r="F17" s="204"/>
      <c r="G17" s="204"/>
      <c r="H17" s="204"/>
      <c r="I17" s="44"/>
      <c r="J17" s="44"/>
      <c r="K17" s="44"/>
      <c r="L17" s="44"/>
      <c r="M17" s="44"/>
      <c r="N17" s="44"/>
      <c r="O17" s="44"/>
      <c r="P17" s="44"/>
      <c r="Q17" s="201"/>
      <c r="R17" s="62"/>
      <c r="S17" s="62"/>
    </row>
    <row r="18" spans="1:19" ht="24" x14ac:dyDescent="0.3">
      <c r="A18" s="206"/>
      <c r="B18" s="44"/>
      <c r="C18" s="44"/>
      <c r="D18" s="204" t="s">
        <v>138</v>
      </c>
      <c r="E18" s="204"/>
      <c r="F18" s="204"/>
      <c r="G18" s="204"/>
      <c r="H18" s="204"/>
      <c r="I18" s="44"/>
      <c r="J18" s="44"/>
      <c r="K18" s="44"/>
      <c r="L18" s="44"/>
      <c r="M18" s="44"/>
      <c r="N18" s="44"/>
      <c r="O18" s="44"/>
      <c r="P18" s="44"/>
      <c r="Q18" s="201"/>
      <c r="R18" s="62"/>
      <c r="S18" s="62"/>
    </row>
    <row r="19" spans="1:19" ht="24" x14ac:dyDescent="0.3">
      <c r="A19" s="206"/>
      <c r="B19" s="44"/>
      <c r="C19" s="44">
        <v>7</v>
      </c>
      <c r="D19" s="205" t="s">
        <v>153</v>
      </c>
      <c r="E19" s="204"/>
      <c r="F19" s="204"/>
      <c r="G19" s="204"/>
      <c r="H19" s="204"/>
      <c r="I19" s="44"/>
      <c r="J19" s="44"/>
      <c r="K19" s="44"/>
      <c r="L19" s="44"/>
      <c r="M19" s="44"/>
      <c r="N19" s="44"/>
      <c r="O19" s="44"/>
      <c r="P19" s="44"/>
      <c r="Q19" s="201"/>
      <c r="R19" s="62"/>
      <c r="S19" s="62"/>
    </row>
    <row r="20" spans="1:19" ht="24" x14ac:dyDescent="0.3">
      <c r="A20" s="206"/>
      <c r="B20" s="44"/>
      <c r="C20" s="44">
        <v>8</v>
      </c>
      <c r="D20" s="205" t="s">
        <v>154</v>
      </c>
      <c r="E20" s="204"/>
      <c r="F20" s="204"/>
      <c r="G20" s="204"/>
      <c r="H20" s="204"/>
      <c r="I20" s="44"/>
      <c r="J20" s="44"/>
      <c r="K20" s="44"/>
      <c r="L20" s="44"/>
      <c r="M20" s="44"/>
      <c r="N20" s="44"/>
      <c r="O20" s="44"/>
      <c r="P20" s="44"/>
      <c r="Q20" s="201"/>
      <c r="R20" s="62"/>
      <c r="S20" s="62"/>
    </row>
    <row r="21" spans="1:19" ht="24" x14ac:dyDescent="0.3">
      <c r="A21" s="206"/>
      <c r="B21" s="44"/>
      <c r="C21" s="44">
        <v>9</v>
      </c>
      <c r="D21" s="205" t="s">
        <v>156</v>
      </c>
      <c r="E21" s="204"/>
      <c r="F21" s="204"/>
      <c r="G21" s="204"/>
      <c r="H21" s="204"/>
      <c r="I21" s="44"/>
      <c r="J21" s="44"/>
      <c r="K21" s="44"/>
      <c r="L21" s="44"/>
      <c r="M21" s="44"/>
      <c r="N21" s="44"/>
      <c r="O21" s="44"/>
      <c r="P21" s="44"/>
      <c r="Q21" s="201"/>
      <c r="R21" s="62"/>
      <c r="S21" s="62"/>
    </row>
    <row r="22" spans="1:19" ht="24" x14ac:dyDescent="0.3">
      <c r="A22" s="206"/>
      <c r="B22" s="3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201"/>
      <c r="R22" s="62"/>
      <c r="S22" s="62"/>
    </row>
    <row r="23" spans="1:19" ht="24" x14ac:dyDescent="0.3">
      <c r="A23" s="206"/>
      <c r="B23" s="67" t="s">
        <v>139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201"/>
      <c r="R23" s="62"/>
      <c r="S23" s="62"/>
    </row>
    <row r="24" spans="1:19" ht="24" x14ac:dyDescent="0.3">
      <c r="A24" s="206"/>
      <c r="B24" s="44"/>
      <c r="C24" s="44">
        <v>1</v>
      </c>
      <c r="D24" s="205" t="s">
        <v>140</v>
      </c>
      <c r="E24" s="205"/>
      <c r="F24" s="205"/>
      <c r="G24" s="205"/>
      <c r="H24" s="44"/>
      <c r="I24" s="44"/>
      <c r="J24" s="44"/>
      <c r="K24" s="44"/>
      <c r="L24" s="44"/>
      <c r="M24" s="44"/>
      <c r="N24" s="44"/>
      <c r="O24" s="44"/>
      <c r="P24" s="44"/>
      <c r="Q24" s="201"/>
      <c r="R24" s="62"/>
      <c r="S24" s="62"/>
    </row>
    <row r="25" spans="1:19" ht="24" x14ac:dyDescent="0.3">
      <c r="A25" s="206"/>
      <c r="B25" s="44"/>
      <c r="C25" s="44">
        <v>2</v>
      </c>
      <c r="D25" s="205" t="s">
        <v>146</v>
      </c>
      <c r="E25" s="205"/>
      <c r="F25" s="205"/>
      <c r="G25" s="205"/>
      <c r="H25" s="44"/>
      <c r="I25" s="44"/>
      <c r="J25" s="44"/>
      <c r="K25" s="44"/>
      <c r="L25" s="44"/>
      <c r="M25" s="44"/>
      <c r="N25" s="44"/>
      <c r="O25" s="44"/>
      <c r="P25" s="44"/>
      <c r="Q25" s="201"/>
      <c r="R25" s="62"/>
      <c r="S25" s="62"/>
    </row>
    <row r="26" spans="1:19" ht="24" x14ac:dyDescent="0.3">
      <c r="A26" s="206"/>
      <c r="B26" s="44"/>
      <c r="C26" s="44">
        <v>3</v>
      </c>
      <c r="D26" s="205" t="s">
        <v>141</v>
      </c>
      <c r="E26" s="205"/>
      <c r="F26" s="205"/>
      <c r="G26" s="205"/>
      <c r="H26" s="44"/>
      <c r="I26" s="44"/>
      <c r="J26" s="44"/>
      <c r="K26" s="44"/>
      <c r="L26" s="44"/>
      <c r="M26" s="44"/>
      <c r="N26" s="44"/>
      <c r="O26" s="44"/>
      <c r="P26" s="44"/>
      <c r="Q26" s="201"/>
      <c r="R26" s="62"/>
      <c r="S26" s="62"/>
    </row>
    <row r="27" spans="1:19" ht="24" x14ac:dyDescent="0.3">
      <c r="A27" s="206"/>
      <c r="B27" s="44"/>
      <c r="C27" s="44">
        <v>4</v>
      </c>
      <c r="D27" s="205" t="s">
        <v>142</v>
      </c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201"/>
      <c r="R27" s="62"/>
      <c r="S27" s="62"/>
    </row>
    <row r="28" spans="1:19" ht="24" x14ac:dyDescent="0.3">
      <c r="A28" s="206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201"/>
      <c r="R28" s="62"/>
      <c r="S28" s="62"/>
    </row>
    <row r="29" spans="1:19" ht="24" x14ac:dyDescent="0.3">
      <c r="A29" s="206"/>
      <c r="B29" s="67" t="s">
        <v>143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201"/>
      <c r="R29" s="62"/>
      <c r="S29" s="62"/>
    </row>
    <row r="30" spans="1:19" ht="24" x14ac:dyDescent="0.3">
      <c r="A30" s="206"/>
      <c r="B30" s="44"/>
      <c r="C30" s="44">
        <v>1</v>
      </c>
      <c r="D30" s="205" t="s">
        <v>144</v>
      </c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201"/>
      <c r="R30" s="62"/>
      <c r="S30" s="62"/>
    </row>
    <row r="31" spans="1:19" ht="24" x14ac:dyDescent="0.3">
      <c r="A31" s="206"/>
      <c r="B31" s="44"/>
      <c r="C31" s="44">
        <v>2</v>
      </c>
      <c r="D31" s="205" t="s">
        <v>145</v>
      </c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201"/>
      <c r="R31" s="62"/>
      <c r="S31" s="62"/>
    </row>
    <row r="32" spans="1:19" ht="24" x14ac:dyDescent="0.3">
      <c r="A32" s="206"/>
      <c r="B32" s="44"/>
      <c r="C32" s="44">
        <v>3</v>
      </c>
      <c r="D32" s="205" t="s">
        <v>147</v>
      </c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201"/>
      <c r="R32" s="62"/>
      <c r="S32" s="62"/>
    </row>
    <row r="33" spans="1:19" ht="24" x14ac:dyDescent="0.3">
      <c r="A33" s="206"/>
      <c r="B33" s="44"/>
      <c r="C33" s="44">
        <v>4</v>
      </c>
      <c r="D33" s="205" t="s">
        <v>148</v>
      </c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201"/>
      <c r="R33" s="62"/>
      <c r="S33" s="62"/>
    </row>
    <row r="34" spans="1:19" ht="24" x14ac:dyDescent="0.3">
      <c r="A34" s="206"/>
      <c r="B34" s="44"/>
      <c r="C34" s="44">
        <v>5</v>
      </c>
      <c r="D34" s="205" t="s">
        <v>149</v>
      </c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201"/>
      <c r="R34" s="62"/>
      <c r="S34" s="62"/>
    </row>
    <row r="35" spans="1:19" ht="24" x14ac:dyDescent="0.3">
      <c r="A35" s="206"/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201"/>
      <c r="R35" s="62"/>
      <c r="S35" s="62"/>
    </row>
    <row r="36" spans="1:19" ht="24" x14ac:dyDescent="0.3">
      <c r="A36" s="206"/>
      <c r="B36" s="67" t="s">
        <v>151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201"/>
      <c r="R36" s="62"/>
      <c r="S36" s="62"/>
    </row>
    <row r="37" spans="1:19" ht="24" x14ac:dyDescent="0.3">
      <c r="A37" s="206"/>
      <c r="B37" s="44"/>
      <c r="C37" s="44">
        <v>1</v>
      </c>
      <c r="D37" s="205" t="s">
        <v>150</v>
      </c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201"/>
      <c r="R37" s="62"/>
      <c r="S37" s="62"/>
    </row>
    <row r="38" spans="1:19" ht="24" x14ac:dyDescent="0.3">
      <c r="A38" s="206"/>
      <c r="B38" s="44"/>
      <c r="C38" s="44">
        <v>2</v>
      </c>
      <c r="D38" s="205" t="s">
        <v>152</v>
      </c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201"/>
      <c r="R38" s="62"/>
      <c r="S38" s="62"/>
    </row>
    <row r="39" spans="1:19" ht="24" x14ac:dyDescent="0.3">
      <c r="A39" s="206"/>
      <c r="B39" s="44"/>
      <c r="C39" s="44">
        <v>3</v>
      </c>
      <c r="D39" s="205" t="s">
        <v>155</v>
      </c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201"/>
      <c r="R39" s="62"/>
      <c r="S39" s="62"/>
    </row>
    <row r="40" spans="1:19" ht="24" x14ac:dyDescent="0.3">
      <c r="A40" s="206"/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201"/>
      <c r="R40" s="62"/>
      <c r="S40" s="62"/>
    </row>
    <row r="41" spans="1:19" ht="24" x14ac:dyDescent="0.3">
      <c r="A41" s="206"/>
      <c r="B41" s="67" t="s">
        <v>157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201"/>
      <c r="R41" s="62"/>
      <c r="S41" s="62"/>
    </row>
    <row r="42" spans="1:19" ht="24" x14ac:dyDescent="0.3">
      <c r="A42" s="206"/>
      <c r="B42" s="44"/>
      <c r="C42" s="44">
        <v>1</v>
      </c>
      <c r="D42" s="205" t="s">
        <v>158</v>
      </c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201"/>
      <c r="R42" s="62"/>
      <c r="S42" s="62"/>
    </row>
    <row r="43" spans="1:19" ht="24" x14ac:dyDescent="0.3">
      <c r="A43" s="206"/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201"/>
      <c r="R43" s="62"/>
      <c r="S43" s="62"/>
    </row>
    <row r="44" spans="1:19" ht="24" x14ac:dyDescent="0.3">
      <c r="A44" s="206"/>
      <c r="B44" s="67" t="s">
        <v>159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201"/>
      <c r="R44" s="62"/>
      <c r="S44" s="62"/>
    </row>
    <row r="45" spans="1:19" ht="24" x14ac:dyDescent="0.3">
      <c r="A45" s="206"/>
      <c r="B45" s="44"/>
      <c r="C45" s="44">
        <v>1</v>
      </c>
      <c r="D45" s="205" t="s">
        <v>160</v>
      </c>
      <c r="E45" s="205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201"/>
      <c r="R45" s="62"/>
      <c r="S45" s="62"/>
    </row>
    <row r="46" spans="1:19" ht="24" x14ac:dyDescent="0.3">
      <c r="A46" s="206"/>
      <c r="B46" s="44"/>
      <c r="C46" s="44">
        <v>2</v>
      </c>
      <c r="D46" s="205" t="s">
        <v>161</v>
      </c>
      <c r="E46" s="205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201"/>
      <c r="R46" s="62"/>
      <c r="S46" s="62"/>
    </row>
    <row r="47" spans="1:19" ht="24" x14ac:dyDescent="0.3">
      <c r="A47" s="206"/>
      <c r="B47" s="44"/>
      <c r="C47" s="44">
        <v>3</v>
      </c>
      <c r="D47" s="205" t="s">
        <v>162</v>
      </c>
      <c r="E47" s="205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201"/>
      <c r="R47" s="62"/>
      <c r="S47" s="62"/>
    </row>
    <row r="48" spans="1:19" ht="24" x14ac:dyDescent="0.3">
      <c r="A48" s="206"/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201"/>
      <c r="R48" s="62"/>
      <c r="S48" s="62"/>
    </row>
    <row r="49" spans="1:19" ht="24" x14ac:dyDescent="0.3">
      <c r="A49" s="206"/>
      <c r="B49" s="67" t="s">
        <v>163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201"/>
      <c r="R49" s="62"/>
      <c r="S49" s="62"/>
    </row>
    <row r="50" spans="1:19" ht="24" x14ac:dyDescent="0.3">
      <c r="A50" s="206"/>
      <c r="B50" s="44"/>
      <c r="C50" s="44">
        <v>1</v>
      </c>
      <c r="D50" s="205" t="s">
        <v>164</v>
      </c>
      <c r="E50" s="205"/>
      <c r="F50" s="205"/>
      <c r="G50" s="205"/>
      <c r="H50" s="205"/>
      <c r="I50" s="44"/>
      <c r="J50" s="44"/>
      <c r="K50" s="44"/>
      <c r="L50" s="44"/>
      <c r="M50" s="44"/>
      <c r="N50" s="44"/>
      <c r="O50" s="44"/>
      <c r="P50" s="44"/>
      <c r="Q50" s="201"/>
      <c r="R50" s="62"/>
      <c r="S50" s="62"/>
    </row>
    <row r="51" spans="1:19" ht="24" x14ac:dyDescent="0.3">
      <c r="A51" s="206"/>
      <c r="B51" s="44"/>
      <c r="C51" s="44">
        <v>2</v>
      </c>
      <c r="D51" s="205" t="s">
        <v>165</v>
      </c>
      <c r="E51" s="205"/>
      <c r="F51" s="205"/>
      <c r="G51" s="205"/>
      <c r="H51" s="205"/>
      <c r="I51" s="44"/>
      <c r="J51" s="44"/>
      <c r="K51" s="44"/>
      <c r="L51" s="44"/>
      <c r="M51" s="44"/>
      <c r="N51" s="44"/>
      <c r="O51" s="44"/>
      <c r="P51" s="44"/>
      <c r="Q51" s="201"/>
      <c r="R51" s="62"/>
      <c r="S51" s="62"/>
    </row>
    <row r="52" spans="1:19" ht="24" x14ac:dyDescent="0.3">
      <c r="A52" s="206"/>
      <c r="B52" s="44"/>
      <c r="C52" s="44">
        <v>3</v>
      </c>
      <c r="D52" s="205" t="s">
        <v>166</v>
      </c>
      <c r="E52" s="205"/>
      <c r="F52" s="205"/>
      <c r="G52" s="205"/>
      <c r="H52" s="205"/>
      <c r="I52" s="44"/>
      <c r="J52" s="44"/>
      <c r="K52" s="44"/>
      <c r="L52" s="44"/>
      <c r="M52" s="44"/>
      <c r="N52" s="44"/>
      <c r="O52" s="44"/>
      <c r="P52" s="44"/>
      <c r="Q52" s="201"/>
      <c r="R52" s="62"/>
      <c r="S52" s="62"/>
    </row>
    <row r="53" spans="1:19" ht="24" x14ac:dyDescent="0.3">
      <c r="A53" s="206"/>
      <c r="B53" s="44"/>
      <c r="C53" s="44">
        <v>4</v>
      </c>
      <c r="D53" s="205" t="s">
        <v>167</v>
      </c>
      <c r="E53" s="205"/>
      <c r="F53" s="205"/>
      <c r="G53" s="205"/>
      <c r="H53" s="205"/>
      <c r="I53" s="44"/>
      <c r="J53" s="44"/>
      <c r="K53" s="44"/>
      <c r="L53" s="44"/>
      <c r="M53" s="44"/>
      <c r="N53" s="44"/>
      <c r="O53" s="44"/>
      <c r="P53" s="44"/>
      <c r="Q53" s="201"/>
      <c r="R53" s="62"/>
      <c r="S53" s="62"/>
    </row>
    <row r="54" spans="1:19" ht="24" x14ac:dyDescent="0.3">
      <c r="A54" s="206"/>
      <c r="B54" s="44"/>
      <c r="C54" s="44">
        <v>5</v>
      </c>
      <c r="D54" s="205" t="s">
        <v>168</v>
      </c>
      <c r="E54" s="205"/>
      <c r="F54" s="205"/>
      <c r="G54" s="205"/>
      <c r="H54" s="205"/>
      <c r="I54" s="44"/>
      <c r="J54" s="44"/>
      <c r="K54" s="44"/>
      <c r="L54" s="44"/>
      <c r="M54" s="44"/>
      <c r="N54" s="44"/>
      <c r="O54" s="44"/>
      <c r="P54" s="44"/>
      <c r="Q54" s="201"/>
      <c r="R54" s="62"/>
      <c r="S54" s="62"/>
    </row>
    <row r="55" spans="1:19" ht="24" x14ac:dyDescent="0.3">
      <c r="A55" s="206"/>
      <c r="B55" s="44"/>
      <c r="C55" s="44">
        <v>6</v>
      </c>
      <c r="D55" s="205" t="s">
        <v>169</v>
      </c>
      <c r="E55" s="205"/>
      <c r="F55" s="205"/>
      <c r="G55" s="205"/>
      <c r="H55" s="205"/>
      <c r="I55" s="44"/>
      <c r="J55" s="44"/>
      <c r="K55" s="44"/>
      <c r="L55" s="44"/>
      <c r="M55" s="44"/>
      <c r="N55" s="44"/>
      <c r="O55" s="44"/>
      <c r="P55" s="44"/>
      <c r="Q55" s="201"/>
      <c r="R55" s="62"/>
      <c r="S55" s="62"/>
    </row>
    <row r="56" spans="1:19" ht="24" x14ac:dyDescent="0.3">
      <c r="A56" s="206"/>
      <c r="B56" s="44"/>
      <c r="C56" s="44">
        <v>7</v>
      </c>
      <c r="D56" s="205" t="s">
        <v>155</v>
      </c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201"/>
      <c r="R56" s="62"/>
      <c r="S56" s="62"/>
    </row>
    <row r="57" spans="1:19" ht="24" x14ac:dyDescent="0.3">
      <c r="A57" s="206"/>
      <c r="B57" s="44"/>
      <c r="C57" s="44">
        <v>8</v>
      </c>
      <c r="D57" s="205" t="s">
        <v>170</v>
      </c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201"/>
      <c r="R57" s="62"/>
      <c r="S57" s="62"/>
    </row>
    <row r="58" spans="1:19" ht="24" x14ac:dyDescent="0.3">
      <c r="A58" s="206"/>
      <c r="B58" s="44"/>
      <c r="C58" s="44">
        <v>9</v>
      </c>
      <c r="D58" s="205" t="s">
        <v>171</v>
      </c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201"/>
      <c r="R58" s="62"/>
      <c r="S58" s="62"/>
    </row>
    <row r="59" spans="1:19" ht="24" x14ac:dyDescent="0.3">
      <c r="A59" s="206"/>
      <c r="B59" s="44"/>
      <c r="C59" s="44">
        <v>10</v>
      </c>
      <c r="D59" s="205" t="s">
        <v>175</v>
      </c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201"/>
      <c r="R59" s="62"/>
      <c r="S59" s="62"/>
    </row>
    <row r="60" spans="1:19" ht="24" x14ac:dyDescent="0.3">
      <c r="A60" s="206"/>
      <c r="B60" s="44"/>
      <c r="C60" s="44">
        <v>11</v>
      </c>
      <c r="D60" s="205" t="s">
        <v>176</v>
      </c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201"/>
      <c r="R60" s="62"/>
      <c r="S60" s="62"/>
    </row>
    <row r="61" spans="1:19" ht="24" x14ac:dyDescent="0.3">
      <c r="A61" s="206"/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201"/>
      <c r="R61" s="62"/>
      <c r="S61" s="62"/>
    </row>
    <row r="62" spans="1:19" ht="25" thickBot="1" x14ac:dyDescent="0.35">
      <c r="A62" s="45"/>
      <c r="B62" s="202"/>
      <c r="C62" s="202"/>
      <c r="D62" s="202"/>
      <c r="E62" s="202"/>
      <c r="F62" s="202"/>
      <c r="G62" s="202"/>
      <c r="H62" s="202"/>
      <c r="I62" s="202"/>
      <c r="J62" s="202"/>
      <c r="K62" s="202"/>
      <c r="L62" s="202"/>
      <c r="M62" s="202"/>
      <c r="N62" s="202"/>
      <c r="O62" s="202"/>
      <c r="P62" s="202"/>
      <c r="Q62" s="203"/>
      <c r="R62" s="62"/>
      <c r="S62" s="62"/>
    </row>
  </sheetData>
  <mergeCells count="4">
    <mergeCell ref="A1:B2"/>
    <mergeCell ref="C1:N2"/>
    <mergeCell ref="P1:Q1"/>
    <mergeCell ref="P2:Q2"/>
  </mergeCells>
  <printOptions horizontalCentered="1" verticalCentered="1"/>
  <pageMargins left="0.25" right="0.25" top="0.75" bottom="0.75" header="0.3" footer="0.3"/>
  <pageSetup paperSize="9" scale="48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7DD3-54BE-0B47-9A75-C513CCBC9952}">
  <dimension ref="A1:P317"/>
  <sheetViews>
    <sheetView showGridLines="0" view="pageBreakPreview" topLeftCell="A189" zoomScaleNormal="100" zoomScaleSheetLayoutView="100" workbookViewId="0">
      <selection activeCell="D209" sqref="D209:E209"/>
    </sheetView>
  </sheetViews>
  <sheetFormatPr baseColWidth="10" defaultRowHeight="16" x14ac:dyDescent="0.2"/>
  <cols>
    <col min="2" max="2" width="9.1640625" customWidth="1"/>
    <col min="3" max="3" width="24.6640625" bestFit="1" customWidth="1"/>
    <col min="4" max="4" width="18" customWidth="1"/>
    <col min="5" max="5" width="20.33203125" customWidth="1"/>
    <col min="6" max="8" width="13.6640625" customWidth="1"/>
    <col min="9" max="10" width="14.5" bestFit="1" customWidth="1"/>
    <col min="11" max="11" width="13.6640625" customWidth="1"/>
    <col min="12" max="12" width="27.83203125" customWidth="1"/>
    <col min="14" max="14" width="14.83203125" customWidth="1"/>
    <col min="15" max="15" width="13.83203125" customWidth="1"/>
  </cols>
  <sheetData>
    <row r="1" spans="1:16" ht="34" customHeight="1" x14ac:dyDescent="0.2">
      <c r="A1" s="308" t="s">
        <v>40</v>
      </c>
      <c r="B1" s="309"/>
      <c r="C1" s="312" t="str">
        <f>Cover!A31</f>
        <v>Food_Lab</v>
      </c>
      <c r="D1" s="313"/>
      <c r="E1" s="313"/>
      <c r="F1" s="313"/>
      <c r="G1" s="313"/>
      <c r="H1" s="313"/>
      <c r="I1" s="313"/>
      <c r="J1" s="313"/>
      <c r="K1" s="313"/>
      <c r="L1" s="313"/>
      <c r="M1" s="313"/>
      <c r="N1" s="19" t="s">
        <v>21</v>
      </c>
      <c r="O1" s="278">
        <v>44555</v>
      </c>
      <c r="P1" s="279"/>
    </row>
    <row r="2" spans="1:16" ht="34" customHeight="1" thickBot="1" x14ac:dyDescent="0.25">
      <c r="A2" s="310"/>
      <c r="B2" s="311"/>
      <c r="C2" s="314"/>
      <c r="D2" s="315"/>
      <c r="E2" s="315"/>
      <c r="F2" s="315"/>
      <c r="G2" s="315"/>
      <c r="H2" s="315"/>
      <c r="I2" s="315"/>
      <c r="J2" s="315"/>
      <c r="K2" s="315"/>
      <c r="L2" s="315"/>
      <c r="M2" s="315"/>
      <c r="N2" s="20" t="s">
        <v>20</v>
      </c>
      <c r="O2" s="280">
        <f ca="1">NOW()</f>
        <v>44575.899132638886</v>
      </c>
      <c r="P2" s="281"/>
    </row>
    <row r="3" spans="1:16" ht="17" thickBot="1" x14ac:dyDescent="0.25">
      <c r="A3" s="6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</row>
    <row r="4" spans="1:16" ht="25" thickBot="1" x14ac:dyDescent="0.35">
      <c r="A4" s="9"/>
      <c r="B4" s="32" t="s">
        <v>38</v>
      </c>
      <c r="C4" s="3"/>
      <c r="D4" s="248" t="s">
        <v>88</v>
      </c>
      <c r="E4" s="230"/>
      <c r="F4" s="33"/>
      <c r="G4" s="33"/>
      <c r="H4" s="34"/>
      <c r="I4" s="3"/>
      <c r="J4" s="3"/>
      <c r="K4" s="3"/>
      <c r="L4" s="3"/>
      <c r="M4" s="3"/>
      <c r="N4" s="3"/>
      <c r="O4" s="3"/>
      <c r="P4" s="10"/>
    </row>
    <row r="5" spans="1:16" ht="24" x14ac:dyDescent="0.3">
      <c r="A5" s="9"/>
      <c r="B5" s="32"/>
      <c r="C5" s="3"/>
      <c r="D5" s="5"/>
      <c r="E5" s="5"/>
      <c r="F5" s="3"/>
      <c r="G5" s="3"/>
      <c r="H5" s="3"/>
      <c r="I5" s="3"/>
      <c r="J5" s="3"/>
      <c r="K5" s="3"/>
      <c r="L5" s="3"/>
      <c r="M5" s="3"/>
      <c r="N5" s="3"/>
      <c r="O5" s="3"/>
      <c r="P5" s="10"/>
    </row>
    <row r="6" spans="1:16" ht="24" x14ac:dyDescent="0.3">
      <c r="A6" s="216"/>
      <c r="B6" s="217" t="s">
        <v>194</v>
      </c>
      <c r="C6" s="109"/>
      <c r="D6" s="109"/>
      <c r="E6" s="109"/>
      <c r="F6" s="109"/>
      <c r="G6" s="109"/>
      <c r="H6" s="109"/>
      <c r="I6" s="109"/>
      <c r="J6" s="109"/>
      <c r="K6" s="109"/>
      <c r="L6" s="109"/>
      <c r="M6" s="109"/>
      <c r="N6" s="109"/>
      <c r="O6" s="109"/>
      <c r="P6" s="110"/>
    </row>
    <row r="7" spans="1:16" ht="25" thickBot="1" x14ac:dyDescent="0.35">
      <c r="A7" s="216"/>
      <c r="B7" s="218"/>
      <c r="C7" s="109"/>
      <c r="D7" s="219"/>
      <c r="E7" s="219"/>
      <c r="F7" s="109"/>
      <c r="G7" s="109"/>
      <c r="H7" s="109"/>
      <c r="I7" s="109"/>
      <c r="J7" s="109"/>
      <c r="K7" s="109"/>
      <c r="L7" s="109"/>
      <c r="M7" s="109"/>
      <c r="N7" s="109"/>
      <c r="O7" s="219"/>
      <c r="P7" s="110"/>
    </row>
    <row r="8" spans="1:16" ht="24" x14ac:dyDescent="0.3">
      <c r="A8" s="216"/>
      <c r="B8" s="220" t="s">
        <v>0</v>
      </c>
      <c r="C8" s="221" t="s">
        <v>29</v>
      </c>
      <c r="D8" s="364" t="s">
        <v>30</v>
      </c>
      <c r="E8" s="365"/>
      <c r="F8" s="221" t="s">
        <v>31</v>
      </c>
      <c r="G8" s="221" t="s">
        <v>32</v>
      </c>
      <c r="H8" s="221" t="s">
        <v>33</v>
      </c>
      <c r="I8" s="221" t="s">
        <v>34</v>
      </c>
      <c r="J8" s="221" t="s">
        <v>35</v>
      </c>
      <c r="K8" s="221" t="s">
        <v>36</v>
      </c>
      <c r="L8" s="366" t="s">
        <v>37</v>
      </c>
      <c r="M8" s="366"/>
      <c r="N8" s="366"/>
      <c r="O8" s="367"/>
      <c r="P8" s="110"/>
    </row>
    <row r="9" spans="1:16" ht="24" x14ac:dyDescent="0.3">
      <c r="A9" s="216"/>
      <c r="B9" s="222">
        <v>1</v>
      </c>
      <c r="C9" s="223" t="s">
        <v>195</v>
      </c>
      <c r="D9" s="356" t="s">
        <v>197</v>
      </c>
      <c r="E9" s="357"/>
      <c r="F9" s="224" t="s">
        <v>191</v>
      </c>
      <c r="G9" s="224" t="s">
        <v>191</v>
      </c>
      <c r="H9" s="224" t="s">
        <v>191</v>
      </c>
      <c r="I9" s="225" t="s">
        <v>203</v>
      </c>
      <c r="J9" s="224"/>
      <c r="K9" s="224"/>
      <c r="L9" s="358"/>
      <c r="M9" s="358"/>
      <c r="N9" s="358"/>
      <c r="O9" s="359"/>
      <c r="P9" s="110"/>
    </row>
    <row r="10" spans="1:16" ht="24" x14ac:dyDescent="0.3">
      <c r="A10" s="216"/>
      <c r="B10" s="222">
        <v>2</v>
      </c>
      <c r="C10" s="223" t="s">
        <v>196</v>
      </c>
      <c r="D10" s="356" t="s">
        <v>198</v>
      </c>
      <c r="E10" s="357"/>
      <c r="F10" s="224"/>
      <c r="G10" s="224"/>
      <c r="H10" s="224" t="s">
        <v>191</v>
      </c>
      <c r="I10" s="225" t="s">
        <v>188</v>
      </c>
      <c r="J10" s="224"/>
      <c r="K10" s="224"/>
      <c r="L10" s="358" t="s">
        <v>189</v>
      </c>
      <c r="M10" s="358"/>
      <c r="N10" s="358"/>
      <c r="O10" s="359"/>
      <c r="P10" s="110"/>
    </row>
    <row r="11" spans="1:16" ht="24" x14ac:dyDescent="0.3">
      <c r="A11" s="216"/>
      <c r="B11" s="222">
        <v>3</v>
      </c>
      <c r="C11" s="223" t="s">
        <v>199</v>
      </c>
      <c r="D11" s="356" t="s">
        <v>201</v>
      </c>
      <c r="E11" s="357"/>
      <c r="F11" s="224"/>
      <c r="G11" s="224"/>
      <c r="H11" s="224" t="s">
        <v>191</v>
      </c>
      <c r="I11" s="225" t="s">
        <v>192</v>
      </c>
      <c r="J11" s="224"/>
      <c r="K11" s="224"/>
      <c r="L11" s="358"/>
      <c r="M11" s="358"/>
      <c r="N11" s="358"/>
      <c r="O11" s="359"/>
      <c r="P11" s="110"/>
    </row>
    <row r="12" spans="1:16" ht="25" thickBot="1" x14ac:dyDescent="0.35">
      <c r="A12" s="216"/>
      <c r="B12" s="226">
        <v>4</v>
      </c>
      <c r="C12" s="227" t="s">
        <v>200</v>
      </c>
      <c r="D12" s="360" t="s">
        <v>202</v>
      </c>
      <c r="E12" s="361"/>
      <c r="F12" s="228"/>
      <c r="G12" s="228"/>
      <c r="H12" s="228"/>
      <c r="I12" s="229" t="s">
        <v>192</v>
      </c>
      <c r="J12" s="228"/>
      <c r="K12" s="228"/>
      <c r="L12" s="362"/>
      <c r="M12" s="362"/>
      <c r="N12" s="362"/>
      <c r="O12" s="363"/>
      <c r="P12" s="110"/>
    </row>
    <row r="13" spans="1:16" ht="24" x14ac:dyDescent="0.3">
      <c r="A13" s="216"/>
      <c r="B13" s="218"/>
      <c r="C13" s="109"/>
      <c r="D13" s="219"/>
      <c r="E13" s="219"/>
      <c r="F13" s="109"/>
      <c r="G13" s="109"/>
      <c r="H13" s="109"/>
      <c r="I13" s="109"/>
      <c r="J13" s="109"/>
      <c r="K13" s="109"/>
      <c r="L13" s="109"/>
      <c r="M13" s="109"/>
      <c r="N13" s="109"/>
      <c r="O13" s="219"/>
      <c r="P13" s="110"/>
    </row>
    <row r="14" spans="1:16" ht="25" thickBot="1" x14ac:dyDescent="0.35">
      <c r="A14" s="9"/>
      <c r="B14" s="32"/>
      <c r="C14" s="3"/>
      <c r="D14" s="44"/>
      <c r="E14" s="44"/>
      <c r="F14" s="3"/>
      <c r="G14" s="3"/>
      <c r="H14" s="3"/>
      <c r="I14" s="3"/>
      <c r="J14" s="3"/>
      <c r="K14" s="3"/>
      <c r="L14" s="3"/>
      <c r="M14" s="3"/>
      <c r="N14" s="3"/>
      <c r="O14" s="44"/>
      <c r="P14" s="10"/>
    </row>
    <row r="15" spans="1:16" ht="25" thickBot="1" x14ac:dyDescent="0.35">
      <c r="A15" s="9"/>
      <c r="B15" s="32" t="s">
        <v>39</v>
      </c>
      <c r="C15" s="3"/>
      <c r="D15" s="231" t="s">
        <v>204</v>
      </c>
      <c r="E15" s="33"/>
      <c r="F15" s="33"/>
      <c r="G15" s="33"/>
      <c r="H15" s="34"/>
      <c r="I15" s="3"/>
      <c r="J15" s="3"/>
      <c r="K15" s="3"/>
      <c r="L15" s="3"/>
      <c r="M15" s="3"/>
      <c r="N15" s="3"/>
      <c r="O15" s="44"/>
      <c r="P15" s="10"/>
    </row>
    <row r="16" spans="1:16" ht="17" thickBot="1" x14ac:dyDescent="0.25">
      <c r="A16" s="9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0"/>
    </row>
    <row r="17" spans="1:16" s="2" customFormat="1" ht="24" x14ac:dyDescent="0.3">
      <c r="A17" s="35"/>
      <c r="B17" s="24" t="s">
        <v>0</v>
      </c>
      <c r="C17" s="25" t="s">
        <v>29</v>
      </c>
      <c r="D17" s="336" t="s">
        <v>30</v>
      </c>
      <c r="E17" s="337"/>
      <c r="F17" s="25" t="s">
        <v>31</v>
      </c>
      <c r="G17" s="25" t="s">
        <v>32</v>
      </c>
      <c r="H17" s="25" t="s">
        <v>33</v>
      </c>
      <c r="I17" s="25" t="s">
        <v>34</v>
      </c>
      <c r="J17" s="25" t="s">
        <v>35</v>
      </c>
      <c r="K17" s="25" t="s">
        <v>36</v>
      </c>
      <c r="L17" s="338" t="s">
        <v>37</v>
      </c>
      <c r="M17" s="338"/>
      <c r="N17" s="338"/>
      <c r="O17" s="339"/>
      <c r="P17" s="22"/>
    </row>
    <row r="18" spans="1:16" ht="24" x14ac:dyDescent="0.3">
      <c r="A18" s="9"/>
      <c r="B18" s="26">
        <v>1</v>
      </c>
      <c r="C18" s="27" t="s">
        <v>180</v>
      </c>
      <c r="D18" s="328" t="s">
        <v>121</v>
      </c>
      <c r="E18" s="329"/>
      <c r="F18" s="214"/>
      <c r="G18" s="214"/>
      <c r="H18" s="214" t="s">
        <v>191</v>
      </c>
      <c r="I18" s="28" t="s">
        <v>190</v>
      </c>
      <c r="J18" s="214">
        <v>128</v>
      </c>
      <c r="K18" s="214"/>
      <c r="L18" s="330"/>
      <c r="M18" s="330"/>
      <c r="N18" s="330"/>
      <c r="O18" s="331"/>
      <c r="P18" s="10"/>
    </row>
    <row r="19" spans="1:16" ht="24" x14ac:dyDescent="0.3">
      <c r="A19" s="9"/>
      <c r="B19" s="26">
        <v>2</v>
      </c>
      <c r="C19" s="27" t="s">
        <v>181</v>
      </c>
      <c r="D19" s="328" t="s">
        <v>185</v>
      </c>
      <c r="E19" s="329"/>
      <c r="F19" s="214"/>
      <c r="G19" s="214"/>
      <c r="H19" s="214" t="s">
        <v>191</v>
      </c>
      <c r="I19" s="28" t="s">
        <v>190</v>
      </c>
      <c r="J19" s="214">
        <v>128</v>
      </c>
      <c r="K19" s="214"/>
      <c r="L19" s="330"/>
      <c r="M19" s="330"/>
      <c r="N19" s="330"/>
      <c r="O19" s="331"/>
      <c r="P19" s="10"/>
    </row>
    <row r="20" spans="1:16" ht="59" customHeight="1" x14ac:dyDescent="0.2">
      <c r="A20" s="9"/>
      <c r="B20" s="234">
        <v>3</v>
      </c>
      <c r="C20" s="28" t="s">
        <v>182</v>
      </c>
      <c r="D20" s="340" t="s">
        <v>186</v>
      </c>
      <c r="E20" s="341"/>
      <c r="F20" s="214"/>
      <c r="G20" s="214"/>
      <c r="H20" s="214" t="s">
        <v>191</v>
      </c>
      <c r="I20" s="28" t="s">
        <v>190</v>
      </c>
      <c r="J20" s="214">
        <v>2</v>
      </c>
      <c r="K20" s="214"/>
      <c r="L20" s="342" t="s">
        <v>205</v>
      </c>
      <c r="M20" s="330"/>
      <c r="N20" s="330"/>
      <c r="O20" s="331"/>
      <c r="P20" s="10"/>
    </row>
    <row r="21" spans="1:16" ht="24" x14ac:dyDescent="0.3">
      <c r="A21" s="9"/>
      <c r="B21" s="26">
        <v>4</v>
      </c>
      <c r="C21" s="27" t="s">
        <v>183</v>
      </c>
      <c r="D21" s="328" t="s">
        <v>187</v>
      </c>
      <c r="E21" s="329"/>
      <c r="F21" s="214"/>
      <c r="G21" s="214"/>
      <c r="H21" s="214" t="s">
        <v>191</v>
      </c>
      <c r="I21" s="28" t="s">
        <v>188</v>
      </c>
      <c r="J21" s="214"/>
      <c r="K21" s="214"/>
      <c r="L21" s="330" t="s">
        <v>189</v>
      </c>
      <c r="M21" s="330"/>
      <c r="N21" s="330"/>
      <c r="O21" s="331"/>
      <c r="P21" s="10"/>
    </row>
    <row r="22" spans="1:16" ht="24" x14ac:dyDescent="0.3">
      <c r="A22" s="9"/>
      <c r="B22" s="26">
        <v>5</v>
      </c>
      <c r="C22" s="27" t="s">
        <v>184</v>
      </c>
      <c r="D22" s="328" t="s">
        <v>193</v>
      </c>
      <c r="E22" s="329"/>
      <c r="F22" s="214"/>
      <c r="G22" s="214"/>
      <c r="H22" s="214"/>
      <c r="I22" s="28" t="s">
        <v>192</v>
      </c>
      <c r="J22" s="214"/>
      <c r="K22" s="214"/>
      <c r="L22" s="330"/>
      <c r="M22" s="330"/>
      <c r="N22" s="330"/>
      <c r="O22" s="331"/>
      <c r="P22" s="10"/>
    </row>
    <row r="23" spans="1:16" ht="25" thickBot="1" x14ac:dyDescent="0.35">
      <c r="A23" s="9"/>
      <c r="B23" s="29"/>
      <c r="C23" s="30"/>
      <c r="D23" s="332"/>
      <c r="E23" s="333"/>
      <c r="F23" s="215"/>
      <c r="G23" s="215"/>
      <c r="H23" s="215"/>
      <c r="I23" s="31"/>
      <c r="J23" s="215"/>
      <c r="K23" s="215"/>
      <c r="L23" s="334"/>
      <c r="M23" s="334"/>
      <c r="N23" s="334"/>
      <c r="O23" s="335"/>
      <c r="P23" s="10"/>
    </row>
    <row r="24" spans="1:16" x14ac:dyDescent="0.2">
      <c r="A24" s="9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10"/>
    </row>
    <row r="25" spans="1:16" x14ac:dyDescent="0.2">
      <c r="A25" s="9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10"/>
    </row>
    <row r="26" spans="1:16" ht="17" thickBot="1" x14ac:dyDescent="0.25">
      <c r="A26" s="9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10"/>
    </row>
    <row r="27" spans="1:16" ht="25" thickBot="1" x14ac:dyDescent="0.35">
      <c r="A27" s="9"/>
      <c r="B27" s="32" t="s">
        <v>39</v>
      </c>
      <c r="C27" s="3"/>
      <c r="D27" s="231" t="s">
        <v>275</v>
      </c>
      <c r="E27" s="33"/>
      <c r="F27" s="33"/>
      <c r="G27" s="33"/>
      <c r="H27" s="34"/>
      <c r="I27" s="3"/>
      <c r="J27" s="3"/>
      <c r="K27" s="3"/>
      <c r="L27" s="3"/>
      <c r="M27" s="3"/>
      <c r="N27" s="3"/>
      <c r="O27" s="44"/>
      <c r="P27" s="10"/>
    </row>
    <row r="28" spans="1:16" ht="17" thickBot="1" x14ac:dyDescent="0.25">
      <c r="A28" s="9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10"/>
    </row>
    <row r="29" spans="1:16" ht="24" x14ac:dyDescent="0.3">
      <c r="A29" s="9"/>
      <c r="B29" s="24" t="s">
        <v>0</v>
      </c>
      <c r="C29" s="25" t="s">
        <v>29</v>
      </c>
      <c r="D29" s="336" t="s">
        <v>30</v>
      </c>
      <c r="E29" s="337"/>
      <c r="F29" s="25" t="s">
        <v>31</v>
      </c>
      <c r="G29" s="25" t="s">
        <v>32</v>
      </c>
      <c r="H29" s="25" t="s">
        <v>33</v>
      </c>
      <c r="I29" s="25" t="s">
        <v>34</v>
      </c>
      <c r="J29" s="25" t="s">
        <v>35</v>
      </c>
      <c r="K29" s="25" t="s">
        <v>36</v>
      </c>
      <c r="L29" s="338" t="s">
        <v>37</v>
      </c>
      <c r="M29" s="338"/>
      <c r="N29" s="338"/>
      <c r="O29" s="339"/>
      <c r="P29" s="10"/>
    </row>
    <row r="30" spans="1:16" ht="24" x14ac:dyDescent="0.3">
      <c r="A30" s="9"/>
      <c r="B30" s="26">
        <v>1</v>
      </c>
      <c r="C30" s="27" t="s">
        <v>206</v>
      </c>
      <c r="D30" s="328" t="s">
        <v>208</v>
      </c>
      <c r="E30" s="329"/>
      <c r="F30" s="214"/>
      <c r="G30" s="214"/>
      <c r="H30" s="214" t="s">
        <v>191</v>
      </c>
      <c r="I30" s="28" t="s">
        <v>188</v>
      </c>
      <c r="J30" s="214"/>
      <c r="K30" s="214"/>
      <c r="L30" s="330" t="s">
        <v>210</v>
      </c>
      <c r="M30" s="330"/>
      <c r="N30" s="330"/>
      <c r="O30" s="331"/>
      <c r="P30" s="10"/>
    </row>
    <row r="31" spans="1:16" ht="24" x14ac:dyDescent="0.3">
      <c r="A31" s="9"/>
      <c r="B31" s="26">
        <v>2</v>
      </c>
      <c r="C31" s="27" t="s">
        <v>207</v>
      </c>
      <c r="D31" s="328" t="s">
        <v>209</v>
      </c>
      <c r="E31" s="329"/>
      <c r="F31" s="214"/>
      <c r="G31" s="214"/>
      <c r="H31" s="214" t="s">
        <v>191</v>
      </c>
      <c r="I31" s="28" t="s">
        <v>188</v>
      </c>
      <c r="J31" s="214"/>
      <c r="K31" s="214"/>
      <c r="L31" s="330"/>
      <c r="M31" s="330"/>
      <c r="N31" s="330"/>
      <c r="O31" s="331"/>
      <c r="P31" s="10"/>
    </row>
    <row r="32" spans="1:16" ht="24" x14ac:dyDescent="0.3">
      <c r="A32" s="9"/>
      <c r="B32" s="26"/>
      <c r="C32" s="27"/>
      <c r="D32" s="350"/>
      <c r="E32" s="351"/>
      <c r="F32" s="214"/>
      <c r="G32" s="214"/>
      <c r="H32" s="214"/>
      <c r="I32" s="28"/>
      <c r="J32" s="214"/>
      <c r="K32" s="214"/>
      <c r="L32" s="330"/>
      <c r="M32" s="330"/>
      <c r="N32" s="330"/>
      <c r="O32" s="331"/>
      <c r="P32" s="10"/>
    </row>
    <row r="33" spans="1:16" ht="24" x14ac:dyDescent="0.3">
      <c r="A33" s="9"/>
      <c r="B33" s="26"/>
      <c r="C33" s="27"/>
      <c r="D33" s="350"/>
      <c r="E33" s="351"/>
      <c r="F33" s="214"/>
      <c r="G33" s="214"/>
      <c r="H33" s="214"/>
      <c r="I33" s="28"/>
      <c r="J33" s="214"/>
      <c r="K33" s="214"/>
      <c r="L33" s="330"/>
      <c r="M33" s="330"/>
      <c r="N33" s="330"/>
      <c r="O33" s="331"/>
      <c r="P33" s="10"/>
    </row>
    <row r="34" spans="1:16" ht="24" x14ac:dyDescent="0.3">
      <c r="A34" s="9"/>
      <c r="B34" s="26"/>
      <c r="C34" s="27"/>
      <c r="D34" s="350"/>
      <c r="E34" s="351"/>
      <c r="F34" s="214"/>
      <c r="G34" s="214"/>
      <c r="H34" s="214"/>
      <c r="I34" s="28"/>
      <c r="J34" s="214"/>
      <c r="K34" s="214"/>
      <c r="L34" s="330"/>
      <c r="M34" s="330"/>
      <c r="N34" s="330"/>
      <c r="O34" s="331"/>
      <c r="P34" s="10"/>
    </row>
    <row r="35" spans="1:16" ht="25" thickBot="1" x14ac:dyDescent="0.35">
      <c r="A35" s="9"/>
      <c r="B35" s="29"/>
      <c r="C35" s="30"/>
      <c r="D35" s="332"/>
      <c r="E35" s="333"/>
      <c r="F35" s="215"/>
      <c r="G35" s="215"/>
      <c r="H35" s="215"/>
      <c r="I35" s="31"/>
      <c r="J35" s="215"/>
      <c r="K35" s="215"/>
      <c r="L35" s="334"/>
      <c r="M35" s="334"/>
      <c r="N35" s="334"/>
      <c r="O35" s="335"/>
      <c r="P35" s="10"/>
    </row>
    <row r="36" spans="1:16" x14ac:dyDescent="0.2">
      <c r="A36" s="9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10"/>
    </row>
    <row r="37" spans="1:16" ht="17" thickBot="1" x14ac:dyDescent="0.25">
      <c r="A37" s="9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10"/>
    </row>
    <row r="38" spans="1:16" ht="25" thickBot="1" x14ac:dyDescent="0.35">
      <c r="A38" s="9"/>
      <c r="B38" s="32" t="s">
        <v>39</v>
      </c>
      <c r="C38" s="3"/>
      <c r="D38" s="231" t="s">
        <v>276</v>
      </c>
      <c r="E38" s="33"/>
      <c r="F38" s="33"/>
      <c r="G38" s="33"/>
      <c r="H38" s="34"/>
      <c r="I38" s="3"/>
      <c r="J38" s="3"/>
      <c r="K38" s="3"/>
      <c r="L38" s="3"/>
      <c r="M38" s="3"/>
      <c r="N38" s="3"/>
      <c r="O38" s="44"/>
      <c r="P38" s="10"/>
    </row>
    <row r="39" spans="1:16" ht="17" thickBot="1" x14ac:dyDescent="0.25">
      <c r="A39" s="9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10"/>
    </row>
    <row r="40" spans="1:16" ht="24" x14ac:dyDescent="0.3">
      <c r="A40" s="9"/>
      <c r="B40" s="24" t="s">
        <v>0</v>
      </c>
      <c r="C40" s="25" t="s">
        <v>29</v>
      </c>
      <c r="D40" s="336" t="s">
        <v>30</v>
      </c>
      <c r="E40" s="337"/>
      <c r="F40" s="25" t="s">
        <v>31</v>
      </c>
      <c r="G40" s="25" t="s">
        <v>32</v>
      </c>
      <c r="H40" s="25" t="s">
        <v>33</v>
      </c>
      <c r="I40" s="25" t="s">
        <v>34</v>
      </c>
      <c r="J40" s="25" t="s">
        <v>35</v>
      </c>
      <c r="K40" s="25" t="s">
        <v>36</v>
      </c>
      <c r="L40" s="338" t="s">
        <v>37</v>
      </c>
      <c r="M40" s="338"/>
      <c r="N40" s="338"/>
      <c r="O40" s="339"/>
      <c r="P40" s="10"/>
    </row>
    <row r="41" spans="1:16" ht="24" x14ac:dyDescent="0.3">
      <c r="A41" s="9"/>
      <c r="B41" s="256">
        <v>1</v>
      </c>
      <c r="C41" s="257" t="s">
        <v>211</v>
      </c>
      <c r="D41" s="352" t="s">
        <v>222</v>
      </c>
      <c r="E41" s="353"/>
      <c r="F41" s="258"/>
      <c r="G41" s="258"/>
      <c r="H41" s="258" t="s">
        <v>191</v>
      </c>
      <c r="I41" s="259" t="s">
        <v>188</v>
      </c>
      <c r="J41" s="258"/>
      <c r="K41" s="258"/>
      <c r="L41" s="354" t="s">
        <v>210</v>
      </c>
      <c r="M41" s="354"/>
      <c r="N41" s="354"/>
      <c r="O41" s="355"/>
      <c r="P41" s="10"/>
    </row>
    <row r="42" spans="1:16" ht="24" x14ac:dyDescent="0.3">
      <c r="A42" s="9"/>
      <c r="B42" s="256">
        <v>2</v>
      </c>
      <c r="C42" s="257" t="s">
        <v>212</v>
      </c>
      <c r="D42" s="352" t="s">
        <v>223</v>
      </c>
      <c r="E42" s="353"/>
      <c r="F42" s="258"/>
      <c r="G42" s="258"/>
      <c r="H42" s="258" t="s">
        <v>191</v>
      </c>
      <c r="I42" s="259" t="s">
        <v>188</v>
      </c>
      <c r="J42" s="258"/>
      <c r="K42" s="258"/>
      <c r="L42" s="354"/>
      <c r="M42" s="354"/>
      <c r="N42" s="354"/>
      <c r="O42" s="355"/>
      <c r="P42" s="10"/>
    </row>
    <row r="43" spans="1:16" ht="24" x14ac:dyDescent="0.3">
      <c r="A43" s="9"/>
      <c r="B43" s="26">
        <v>3</v>
      </c>
      <c r="C43" s="27" t="s">
        <v>213</v>
      </c>
      <c r="D43" s="328" t="s">
        <v>224</v>
      </c>
      <c r="E43" s="329"/>
      <c r="F43" s="214"/>
      <c r="G43" s="214"/>
      <c r="H43" s="214" t="s">
        <v>191</v>
      </c>
      <c r="I43" s="28" t="s">
        <v>188</v>
      </c>
      <c r="J43" s="214"/>
      <c r="K43" s="214"/>
      <c r="L43" s="330"/>
      <c r="M43" s="330"/>
      <c r="N43" s="330"/>
      <c r="O43" s="331"/>
      <c r="P43" s="10"/>
    </row>
    <row r="44" spans="1:16" ht="24" x14ac:dyDescent="0.3">
      <c r="A44" s="9"/>
      <c r="B44" s="26">
        <v>4</v>
      </c>
      <c r="C44" s="27" t="s">
        <v>214</v>
      </c>
      <c r="D44" s="328" t="s">
        <v>225</v>
      </c>
      <c r="E44" s="329"/>
      <c r="F44" s="214"/>
      <c r="G44" s="214"/>
      <c r="H44" s="214" t="s">
        <v>191</v>
      </c>
      <c r="I44" s="28" t="s">
        <v>188</v>
      </c>
      <c r="J44" s="214"/>
      <c r="K44" s="214"/>
      <c r="L44" s="330"/>
      <c r="M44" s="330"/>
      <c r="N44" s="330"/>
      <c r="O44" s="331"/>
      <c r="P44" s="10"/>
    </row>
    <row r="45" spans="1:16" ht="24" x14ac:dyDescent="0.3">
      <c r="A45" s="9"/>
      <c r="B45" s="26">
        <v>5</v>
      </c>
      <c r="C45" s="27" t="s">
        <v>215</v>
      </c>
      <c r="D45" s="328" t="s">
        <v>226</v>
      </c>
      <c r="E45" s="329"/>
      <c r="F45" s="214"/>
      <c r="G45" s="214"/>
      <c r="H45" s="214" t="s">
        <v>191</v>
      </c>
      <c r="I45" s="28" t="s">
        <v>203</v>
      </c>
      <c r="J45" s="214"/>
      <c r="K45" s="254" t="s">
        <v>191</v>
      </c>
      <c r="L45" s="330" t="s">
        <v>270</v>
      </c>
      <c r="M45" s="330"/>
      <c r="N45" s="330"/>
      <c r="O45" s="331"/>
      <c r="P45" s="10"/>
    </row>
    <row r="46" spans="1:16" ht="24" x14ac:dyDescent="0.3">
      <c r="A46" s="9"/>
      <c r="B46" s="235">
        <v>6</v>
      </c>
      <c r="C46" s="236" t="s">
        <v>234</v>
      </c>
      <c r="D46" s="239" t="s">
        <v>235</v>
      </c>
      <c r="E46" s="240"/>
      <c r="F46" s="237"/>
      <c r="G46" s="237"/>
      <c r="H46" s="214" t="s">
        <v>191</v>
      </c>
      <c r="I46" s="238" t="s">
        <v>190</v>
      </c>
      <c r="J46" s="237"/>
      <c r="K46" s="237"/>
      <c r="L46" s="330"/>
      <c r="M46" s="330"/>
      <c r="N46" s="330"/>
      <c r="O46" s="331"/>
      <c r="P46" s="10"/>
    </row>
    <row r="47" spans="1:16" ht="25" thickBot="1" x14ac:dyDescent="0.35">
      <c r="A47" s="9"/>
      <c r="B47" s="29"/>
      <c r="C47" s="30"/>
      <c r="D47" s="332"/>
      <c r="E47" s="333"/>
      <c r="F47" s="215"/>
      <c r="G47" s="215"/>
      <c r="H47" s="215"/>
      <c r="I47" s="31"/>
      <c r="J47" s="215"/>
      <c r="K47" s="215"/>
      <c r="L47" s="334"/>
      <c r="M47" s="334"/>
      <c r="N47" s="334"/>
      <c r="O47" s="335"/>
      <c r="P47" s="10"/>
    </row>
    <row r="48" spans="1:16" x14ac:dyDescent="0.2">
      <c r="A48" s="9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10"/>
    </row>
    <row r="49" spans="1:16" ht="17" thickBot="1" x14ac:dyDescent="0.25">
      <c r="A49" s="9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10"/>
    </row>
    <row r="50" spans="1:16" ht="25" thickBot="1" x14ac:dyDescent="0.35">
      <c r="A50" s="9"/>
      <c r="B50" s="32" t="s">
        <v>39</v>
      </c>
      <c r="C50" s="3"/>
      <c r="D50" s="231" t="s">
        <v>216</v>
      </c>
      <c r="E50" s="33"/>
      <c r="F50" s="33"/>
      <c r="G50" s="33"/>
      <c r="H50" s="34"/>
      <c r="I50" s="3"/>
      <c r="J50" s="3"/>
      <c r="K50" s="3"/>
      <c r="L50" s="3"/>
      <c r="M50" s="3"/>
      <c r="N50" s="3"/>
      <c r="O50" s="44"/>
      <c r="P50" s="10"/>
    </row>
    <row r="51" spans="1:16" ht="17" thickBot="1" x14ac:dyDescent="0.25">
      <c r="A51" s="9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10"/>
    </row>
    <row r="52" spans="1:16" ht="24" x14ac:dyDescent="0.3">
      <c r="A52" s="9"/>
      <c r="B52" s="24" t="s">
        <v>0</v>
      </c>
      <c r="C52" s="25" t="s">
        <v>29</v>
      </c>
      <c r="D52" s="336" t="s">
        <v>30</v>
      </c>
      <c r="E52" s="337"/>
      <c r="F52" s="25" t="s">
        <v>31</v>
      </c>
      <c r="G52" s="25" t="s">
        <v>32</v>
      </c>
      <c r="H52" s="25" t="s">
        <v>33</v>
      </c>
      <c r="I52" s="25" t="s">
        <v>34</v>
      </c>
      <c r="J52" s="25" t="s">
        <v>35</v>
      </c>
      <c r="K52" s="25" t="s">
        <v>36</v>
      </c>
      <c r="L52" s="338" t="s">
        <v>37</v>
      </c>
      <c r="M52" s="338"/>
      <c r="N52" s="338"/>
      <c r="O52" s="339"/>
      <c r="P52" s="10"/>
    </row>
    <row r="53" spans="1:16" ht="24" x14ac:dyDescent="0.3">
      <c r="A53" s="9"/>
      <c r="B53" s="26">
        <v>1</v>
      </c>
      <c r="C53" s="27" t="s">
        <v>217</v>
      </c>
      <c r="D53" s="328" t="s">
        <v>218</v>
      </c>
      <c r="E53" s="329"/>
      <c r="F53" s="214"/>
      <c r="G53" s="214"/>
      <c r="H53" s="214" t="s">
        <v>191</v>
      </c>
      <c r="I53" s="28" t="s">
        <v>203</v>
      </c>
      <c r="J53" s="214"/>
      <c r="K53" s="254" t="s">
        <v>191</v>
      </c>
      <c r="L53" s="330" t="s">
        <v>329</v>
      </c>
      <c r="M53" s="330"/>
      <c r="N53" s="330"/>
      <c r="O53" s="331"/>
      <c r="P53" s="10"/>
    </row>
    <row r="54" spans="1:16" ht="24" x14ac:dyDescent="0.3">
      <c r="A54" s="9"/>
      <c r="B54" s="26">
        <v>2</v>
      </c>
      <c r="C54" s="27" t="s">
        <v>244</v>
      </c>
      <c r="D54" s="249" t="s">
        <v>245</v>
      </c>
      <c r="E54" s="250"/>
      <c r="F54" s="214"/>
      <c r="G54" s="214"/>
      <c r="H54" s="214" t="s">
        <v>191</v>
      </c>
      <c r="I54" s="28" t="s">
        <v>188</v>
      </c>
      <c r="J54" s="214"/>
      <c r="K54" s="214"/>
      <c r="L54" s="371" t="s">
        <v>246</v>
      </c>
      <c r="M54" s="372"/>
      <c r="N54" s="372"/>
      <c r="O54" s="373"/>
      <c r="P54" s="10"/>
    </row>
    <row r="55" spans="1:16" ht="24" x14ac:dyDescent="0.3">
      <c r="A55" s="9"/>
      <c r="B55" s="26">
        <v>3</v>
      </c>
      <c r="C55" s="27" t="s">
        <v>241</v>
      </c>
      <c r="D55" s="249" t="s">
        <v>242</v>
      </c>
      <c r="E55" s="250"/>
      <c r="F55" s="214"/>
      <c r="G55" s="214"/>
      <c r="H55" s="214" t="s">
        <v>191</v>
      </c>
      <c r="I55" s="28" t="s">
        <v>188</v>
      </c>
      <c r="J55" s="214"/>
      <c r="K55" s="214"/>
      <c r="L55" s="377" t="s">
        <v>293</v>
      </c>
      <c r="M55" s="378"/>
      <c r="N55" s="378"/>
      <c r="O55" s="379"/>
      <c r="P55" s="10"/>
    </row>
    <row r="56" spans="1:16" ht="24" x14ac:dyDescent="0.3">
      <c r="A56" s="9"/>
      <c r="B56" s="26">
        <v>4</v>
      </c>
      <c r="C56" s="27" t="s">
        <v>239</v>
      </c>
      <c r="D56" s="249" t="s">
        <v>232</v>
      </c>
      <c r="E56" s="250"/>
      <c r="F56" s="214"/>
      <c r="G56" s="214"/>
      <c r="H56" s="214"/>
      <c r="I56" s="28" t="s">
        <v>188</v>
      </c>
      <c r="J56" s="214"/>
      <c r="K56" s="214"/>
      <c r="L56" s="368" t="s">
        <v>243</v>
      </c>
      <c r="M56" s="369"/>
      <c r="N56" s="369"/>
      <c r="O56" s="370"/>
      <c r="P56" s="10"/>
    </row>
    <row r="57" spans="1:16" ht="24" x14ac:dyDescent="0.3">
      <c r="A57" s="9"/>
      <c r="B57" s="26">
        <v>5</v>
      </c>
      <c r="C57" s="27" t="s">
        <v>240</v>
      </c>
      <c r="D57" s="249" t="s">
        <v>233</v>
      </c>
      <c r="E57" s="250"/>
      <c r="F57" s="214"/>
      <c r="G57" s="214"/>
      <c r="H57" s="214"/>
      <c r="I57" s="28" t="s">
        <v>188</v>
      </c>
      <c r="J57" s="214"/>
      <c r="K57" s="214"/>
      <c r="L57" s="374"/>
      <c r="M57" s="375"/>
      <c r="N57" s="375"/>
      <c r="O57" s="376"/>
      <c r="P57" s="10"/>
    </row>
    <row r="58" spans="1:16" ht="65" customHeight="1" x14ac:dyDescent="0.2">
      <c r="A58" s="9"/>
      <c r="B58" s="232">
        <v>6</v>
      </c>
      <c r="C58" s="28" t="s">
        <v>219</v>
      </c>
      <c r="D58" s="340" t="s">
        <v>227</v>
      </c>
      <c r="E58" s="341"/>
      <c r="F58" s="214"/>
      <c r="G58" s="214"/>
      <c r="H58" s="214" t="s">
        <v>191</v>
      </c>
      <c r="I58" s="28" t="s">
        <v>188</v>
      </c>
      <c r="J58" s="214"/>
      <c r="K58" s="214"/>
      <c r="L58" s="342" t="s">
        <v>409</v>
      </c>
      <c r="M58" s="330"/>
      <c r="N58" s="330"/>
      <c r="O58" s="331"/>
      <c r="P58" s="10"/>
    </row>
    <row r="59" spans="1:16" ht="24" x14ac:dyDescent="0.3">
      <c r="A59" s="9"/>
      <c r="B59" s="26">
        <v>7</v>
      </c>
      <c r="C59" s="27" t="s">
        <v>220</v>
      </c>
      <c r="D59" s="328" t="s">
        <v>228</v>
      </c>
      <c r="E59" s="329"/>
      <c r="F59" s="214"/>
      <c r="G59" s="214"/>
      <c r="H59" s="214" t="s">
        <v>191</v>
      </c>
      <c r="I59" s="28" t="s">
        <v>192</v>
      </c>
      <c r="J59" s="214"/>
      <c r="K59" s="214"/>
      <c r="L59" s="330"/>
      <c r="M59" s="330"/>
      <c r="N59" s="330"/>
      <c r="O59" s="331"/>
      <c r="P59" s="10"/>
    </row>
    <row r="60" spans="1:16" ht="24" x14ac:dyDescent="0.3">
      <c r="A60" s="9"/>
      <c r="B60" s="26">
        <v>8</v>
      </c>
      <c r="C60" s="27" t="s">
        <v>221</v>
      </c>
      <c r="D60" s="328" t="s">
        <v>229</v>
      </c>
      <c r="E60" s="329"/>
      <c r="F60" s="214"/>
      <c r="G60" s="214"/>
      <c r="H60" s="214" t="s">
        <v>191</v>
      </c>
      <c r="I60" s="28" t="s">
        <v>203</v>
      </c>
      <c r="J60" s="214"/>
      <c r="K60" s="254" t="s">
        <v>191</v>
      </c>
      <c r="L60" s="330" t="s">
        <v>270</v>
      </c>
      <c r="M60" s="330"/>
      <c r="N60" s="330"/>
      <c r="O60" s="331"/>
      <c r="P60" s="10"/>
    </row>
    <row r="61" spans="1:16" ht="25" thickBot="1" x14ac:dyDescent="0.35">
      <c r="A61" s="9"/>
      <c r="B61" s="29"/>
      <c r="C61" s="30"/>
      <c r="D61" s="332"/>
      <c r="E61" s="333"/>
      <c r="F61" s="215"/>
      <c r="G61" s="215"/>
      <c r="H61" s="215"/>
      <c r="I61" s="31"/>
      <c r="J61" s="215"/>
      <c r="K61" s="215"/>
      <c r="L61" s="334"/>
      <c r="M61" s="334"/>
      <c r="N61" s="334"/>
      <c r="O61" s="335"/>
      <c r="P61" s="10"/>
    </row>
    <row r="62" spans="1:16" x14ac:dyDescent="0.2">
      <c r="A62" s="9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10"/>
    </row>
    <row r="63" spans="1:16" ht="17" thickBot="1" x14ac:dyDescent="0.25">
      <c r="A63" s="9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10"/>
    </row>
    <row r="64" spans="1:16" ht="25" thickBot="1" x14ac:dyDescent="0.35">
      <c r="A64" s="9"/>
      <c r="B64" s="32" t="s">
        <v>39</v>
      </c>
      <c r="C64" s="3"/>
      <c r="D64" s="231" t="s">
        <v>236</v>
      </c>
      <c r="E64" s="33"/>
      <c r="F64" s="33"/>
      <c r="G64" s="33"/>
      <c r="H64" s="34"/>
      <c r="I64" s="3"/>
      <c r="J64" s="3"/>
      <c r="K64" s="3"/>
      <c r="L64" s="3"/>
      <c r="M64" s="3"/>
      <c r="N64" s="3"/>
      <c r="O64" s="44"/>
      <c r="P64" s="10"/>
    </row>
    <row r="65" spans="1:16" ht="17" thickBot="1" x14ac:dyDescent="0.25">
      <c r="A65" s="9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10"/>
    </row>
    <row r="66" spans="1:16" ht="24" x14ac:dyDescent="0.3">
      <c r="A66" s="9"/>
      <c r="B66" s="24" t="s">
        <v>0</v>
      </c>
      <c r="C66" s="25" t="s">
        <v>29</v>
      </c>
      <c r="D66" s="336" t="s">
        <v>30</v>
      </c>
      <c r="E66" s="337"/>
      <c r="F66" s="25" t="s">
        <v>31</v>
      </c>
      <c r="G66" s="25" t="s">
        <v>32</v>
      </c>
      <c r="H66" s="25" t="s">
        <v>33</v>
      </c>
      <c r="I66" s="25" t="s">
        <v>34</v>
      </c>
      <c r="J66" s="25" t="s">
        <v>35</v>
      </c>
      <c r="K66" s="25" t="s">
        <v>36</v>
      </c>
      <c r="L66" s="338" t="s">
        <v>37</v>
      </c>
      <c r="M66" s="338"/>
      <c r="N66" s="338"/>
      <c r="O66" s="339"/>
      <c r="P66" s="10"/>
    </row>
    <row r="67" spans="1:16" ht="24" x14ac:dyDescent="0.3">
      <c r="A67" s="9"/>
      <c r="B67" s="26">
        <v>1</v>
      </c>
      <c r="C67" s="27" t="s">
        <v>266</v>
      </c>
      <c r="D67" s="328" t="s">
        <v>267</v>
      </c>
      <c r="E67" s="329"/>
      <c r="F67" s="214"/>
      <c r="G67" s="214"/>
      <c r="H67" s="214" t="s">
        <v>191</v>
      </c>
      <c r="I67" s="28" t="s">
        <v>203</v>
      </c>
      <c r="J67" s="214"/>
      <c r="K67" s="254" t="s">
        <v>191</v>
      </c>
      <c r="L67" s="330" t="s">
        <v>268</v>
      </c>
      <c r="M67" s="330"/>
      <c r="N67" s="330"/>
      <c r="O67" s="331"/>
      <c r="P67" s="10"/>
    </row>
    <row r="68" spans="1:16" ht="24" x14ac:dyDescent="0.3">
      <c r="A68" s="9"/>
      <c r="B68" s="26">
        <v>2</v>
      </c>
      <c r="C68" s="27" t="s">
        <v>237</v>
      </c>
      <c r="D68" s="328" t="s">
        <v>248</v>
      </c>
      <c r="E68" s="329"/>
      <c r="F68" s="214"/>
      <c r="G68" s="214"/>
      <c r="H68" s="214" t="s">
        <v>191</v>
      </c>
      <c r="I68" s="28" t="s">
        <v>188</v>
      </c>
      <c r="J68" s="214"/>
      <c r="K68" s="214"/>
      <c r="L68" s="330"/>
      <c r="M68" s="330"/>
      <c r="N68" s="330"/>
      <c r="O68" s="331"/>
      <c r="P68" s="10"/>
    </row>
    <row r="69" spans="1:16" ht="24" x14ac:dyDescent="0.3">
      <c r="A69" s="9"/>
      <c r="B69" s="26">
        <v>3</v>
      </c>
      <c r="C69" s="27" t="s">
        <v>238</v>
      </c>
      <c r="D69" s="328" t="s">
        <v>249</v>
      </c>
      <c r="E69" s="329"/>
      <c r="F69" s="214"/>
      <c r="G69" s="214"/>
      <c r="H69" s="214" t="s">
        <v>191</v>
      </c>
      <c r="I69" s="28" t="s">
        <v>188</v>
      </c>
      <c r="J69" s="214"/>
      <c r="K69" s="214"/>
      <c r="L69" s="330"/>
      <c r="M69" s="330"/>
      <c r="N69" s="330"/>
      <c r="O69" s="331"/>
      <c r="P69" s="10"/>
    </row>
    <row r="70" spans="1:16" ht="24" x14ac:dyDescent="0.3">
      <c r="A70" s="9"/>
      <c r="B70" s="26">
        <v>4</v>
      </c>
      <c r="C70" s="27" t="s">
        <v>230</v>
      </c>
      <c r="D70" s="249" t="s">
        <v>232</v>
      </c>
      <c r="E70" s="250"/>
      <c r="F70" s="214"/>
      <c r="G70" s="214"/>
      <c r="H70" s="214"/>
      <c r="I70" s="28" t="s">
        <v>188</v>
      </c>
      <c r="J70" s="214"/>
      <c r="K70" s="214"/>
      <c r="L70" s="368" t="s">
        <v>243</v>
      </c>
      <c r="M70" s="369"/>
      <c r="N70" s="369"/>
      <c r="O70" s="370"/>
      <c r="P70" s="10"/>
    </row>
    <row r="71" spans="1:16" ht="24" x14ac:dyDescent="0.3">
      <c r="A71" s="9"/>
      <c r="B71" s="26">
        <v>5</v>
      </c>
      <c r="C71" s="27" t="s">
        <v>231</v>
      </c>
      <c r="D71" s="249" t="s">
        <v>233</v>
      </c>
      <c r="E71" s="250"/>
      <c r="F71" s="214"/>
      <c r="G71" s="214"/>
      <c r="H71" s="214"/>
      <c r="I71" s="28" t="s">
        <v>188</v>
      </c>
      <c r="J71" s="214"/>
      <c r="K71" s="214"/>
      <c r="L71" s="374"/>
      <c r="M71" s="375"/>
      <c r="N71" s="375"/>
      <c r="O71" s="376"/>
      <c r="P71" s="10"/>
    </row>
    <row r="72" spans="1:16" ht="24" x14ac:dyDescent="0.3">
      <c r="A72" s="9"/>
      <c r="B72" s="232">
        <v>6</v>
      </c>
      <c r="C72" s="28" t="s">
        <v>247</v>
      </c>
      <c r="D72" s="328" t="s">
        <v>250</v>
      </c>
      <c r="E72" s="329"/>
      <c r="F72" s="214"/>
      <c r="G72" s="214"/>
      <c r="H72" s="214"/>
      <c r="I72" s="28" t="s">
        <v>190</v>
      </c>
      <c r="J72" s="214">
        <v>255</v>
      </c>
      <c r="K72" s="214"/>
      <c r="L72" s="342"/>
      <c r="M72" s="330"/>
      <c r="N72" s="330"/>
      <c r="O72" s="331"/>
      <c r="P72" s="10"/>
    </row>
    <row r="73" spans="1:16" ht="25" thickBot="1" x14ac:dyDescent="0.35">
      <c r="A73" s="9"/>
      <c r="B73" s="29"/>
      <c r="C73" s="30"/>
      <c r="D73" s="332"/>
      <c r="E73" s="333"/>
      <c r="F73" s="215"/>
      <c r="G73" s="215"/>
      <c r="H73" s="215"/>
      <c r="I73" s="31"/>
      <c r="J73" s="215"/>
      <c r="K73" s="215"/>
      <c r="L73" s="334"/>
      <c r="M73" s="334"/>
      <c r="N73" s="334"/>
      <c r="O73" s="335"/>
      <c r="P73" s="10"/>
    </row>
    <row r="74" spans="1:16" x14ac:dyDescent="0.2">
      <c r="A74" s="9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10"/>
    </row>
    <row r="75" spans="1:16" ht="17" thickBot="1" x14ac:dyDescent="0.25">
      <c r="A75" s="9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10"/>
    </row>
    <row r="76" spans="1:16" ht="25" thickBot="1" x14ac:dyDescent="0.35">
      <c r="A76" s="9"/>
      <c r="B76" s="32" t="s">
        <v>39</v>
      </c>
      <c r="C76" s="3"/>
      <c r="D76" s="231" t="s">
        <v>273</v>
      </c>
      <c r="E76" s="33"/>
      <c r="F76" s="33"/>
      <c r="G76" s="33"/>
      <c r="H76" s="34"/>
      <c r="I76" s="3"/>
      <c r="J76" s="3"/>
      <c r="K76" s="3"/>
      <c r="L76" s="3"/>
      <c r="M76" s="3"/>
      <c r="N76" s="3"/>
      <c r="O76" s="44"/>
      <c r="P76" s="10"/>
    </row>
    <row r="77" spans="1:16" ht="17" thickBot="1" x14ac:dyDescent="0.25">
      <c r="A77" s="9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10"/>
    </row>
    <row r="78" spans="1:16" ht="24" x14ac:dyDescent="0.3">
      <c r="A78" s="9"/>
      <c r="B78" s="24" t="s">
        <v>0</v>
      </c>
      <c r="C78" s="25" t="s">
        <v>29</v>
      </c>
      <c r="D78" s="336" t="s">
        <v>30</v>
      </c>
      <c r="E78" s="337"/>
      <c r="F78" s="25" t="s">
        <v>31</v>
      </c>
      <c r="G78" s="25" t="s">
        <v>32</v>
      </c>
      <c r="H78" s="25" t="s">
        <v>33</v>
      </c>
      <c r="I78" s="25" t="s">
        <v>34</v>
      </c>
      <c r="J78" s="25" t="s">
        <v>35</v>
      </c>
      <c r="K78" s="25" t="s">
        <v>36</v>
      </c>
      <c r="L78" s="338" t="s">
        <v>37</v>
      </c>
      <c r="M78" s="338"/>
      <c r="N78" s="338"/>
      <c r="O78" s="339"/>
      <c r="P78" s="10"/>
    </row>
    <row r="79" spans="1:16" ht="24" x14ac:dyDescent="0.3">
      <c r="A79" s="9"/>
      <c r="B79" s="26">
        <v>1</v>
      </c>
      <c r="C79" s="27" t="s">
        <v>217</v>
      </c>
      <c r="D79" s="328" t="s">
        <v>218</v>
      </c>
      <c r="E79" s="329"/>
      <c r="F79" s="214"/>
      <c r="G79" s="214"/>
      <c r="H79" s="214" t="s">
        <v>191</v>
      </c>
      <c r="I79" s="28" t="s">
        <v>203</v>
      </c>
      <c r="J79" s="214"/>
      <c r="K79" s="254" t="s">
        <v>191</v>
      </c>
      <c r="L79" s="330" t="s">
        <v>329</v>
      </c>
      <c r="M79" s="330"/>
      <c r="N79" s="330"/>
      <c r="O79" s="331"/>
      <c r="P79" s="10"/>
    </row>
    <row r="80" spans="1:16" ht="24" x14ac:dyDescent="0.3">
      <c r="A80" s="9"/>
      <c r="B80" s="26">
        <v>2</v>
      </c>
      <c r="C80" s="27" t="s">
        <v>251</v>
      </c>
      <c r="D80" s="328" t="s">
        <v>259</v>
      </c>
      <c r="E80" s="329"/>
      <c r="F80" s="214"/>
      <c r="G80" s="214"/>
      <c r="H80" s="214" t="s">
        <v>191</v>
      </c>
      <c r="I80" s="28" t="s">
        <v>188</v>
      </c>
      <c r="J80" s="214"/>
      <c r="K80" s="214"/>
      <c r="L80" s="330"/>
      <c r="M80" s="330"/>
      <c r="N80" s="330"/>
      <c r="O80" s="331"/>
      <c r="P80" s="10"/>
    </row>
    <row r="81" spans="1:16" ht="24" x14ac:dyDescent="0.3">
      <c r="A81" s="9"/>
      <c r="B81" s="26">
        <v>3</v>
      </c>
      <c r="C81" s="27" t="s">
        <v>326</v>
      </c>
      <c r="D81" s="328" t="s">
        <v>260</v>
      </c>
      <c r="E81" s="329"/>
      <c r="F81" s="214"/>
      <c r="G81" s="214"/>
      <c r="H81" s="214" t="s">
        <v>191</v>
      </c>
      <c r="I81" s="28" t="s">
        <v>203</v>
      </c>
      <c r="J81" s="214"/>
      <c r="K81" s="254" t="s">
        <v>191</v>
      </c>
      <c r="L81" s="368" t="s">
        <v>410</v>
      </c>
      <c r="M81" s="369"/>
      <c r="N81" s="369"/>
      <c r="O81" s="370"/>
      <c r="P81" s="10"/>
    </row>
    <row r="82" spans="1:16" ht="24" x14ac:dyDescent="0.3">
      <c r="A82" s="9"/>
      <c r="B82" s="26">
        <v>4</v>
      </c>
      <c r="C82" s="27" t="s">
        <v>252</v>
      </c>
      <c r="D82" s="328" t="s">
        <v>261</v>
      </c>
      <c r="E82" s="329"/>
      <c r="F82" s="214"/>
      <c r="G82" s="214"/>
      <c r="H82" s="214" t="s">
        <v>191</v>
      </c>
      <c r="I82" s="28" t="s">
        <v>192</v>
      </c>
      <c r="J82" s="214"/>
      <c r="K82" s="241"/>
      <c r="L82" s="330"/>
      <c r="M82" s="330"/>
      <c r="N82" s="330"/>
      <c r="O82" s="331"/>
      <c r="P82" s="10"/>
    </row>
    <row r="83" spans="1:16" ht="24" x14ac:dyDescent="0.3">
      <c r="A83" s="9"/>
      <c r="B83" s="26">
        <v>5</v>
      </c>
      <c r="C83" s="27" t="s">
        <v>253</v>
      </c>
      <c r="D83" s="328" t="s">
        <v>262</v>
      </c>
      <c r="E83" s="329"/>
      <c r="F83" s="214"/>
      <c r="G83" s="214"/>
      <c r="H83" s="214" t="s">
        <v>191</v>
      </c>
      <c r="I83" s="28" t="s">
        <v>188</v>
      </c>
      <c r="J83" s="214"/>
      <c r="K83" s="241"/>
      <c r="L83" s="330" t="s">
        <v>360</v>
      </c>
      <c r="M83" s="330"/>
      <c r="N83" s="330"/>
      <c r="O83" s="331"/>
      <c r="P83" s="10"/>
    </row>
    <row r="84" spans="1:16" ht="24" x14ac:dyDescent="0.3">
      <c r="A84" s="9"/>
      <c r="B84" s="26">
        <v>6</v>
      </c>
      <c r="C84" s="27" t="s">
        <v>256</v>
      </c>
      <c r="D84" s="328" t="s">
        <v>263</v>
      </c>
      <c r="E84" s="329"/>
      <c r="F84" s="214"/>
      <c r="G84" s="214"/>
      <c r="H84" s="214" t="s">
        <v>191</v>
      </c>
      <c r="I84" s="28" t="s">
        <v>188</v>
      </c>
      <c r="J84" s="214"/>
      <c r="K84" s="241"/>
      <c r="L84" s="330" t="s">
        <v>254</v>
      </c>
      <c r="M84" s="330"/>
      <c r="N84" s="330"/>
      <c r="O84" s="331"/>
      <c r="P84" s="10"/>
    </row>
    <row r="85" spans="1:16" ht="24" x14ac:dyDescent="0.3">
      <c r="A85" s="9"/>
      <c r="B85" s="232">
        <v>7</v>
      </c>
      <c r="C85" s="28" t="s">
        <v>255</v>
      </c>
      <c r="D85" s="328" t="s">
        <v>264</v>
      </c>
      <c r="E85" s="329"/>
      <c r="F85" s="214"/>
      <c r="G85" s="214"/>
      <c r="H85" s="214" t="s">
        <v>191</v>
      </c>
      <c r="I85" s="28" t="s">
        <v>203</v>
      </c>
      <c r="J85" s="214"/>
      <c r="K85" s="254" t="s">
        <v>191</v>
      </c>
      <c r="L85" s="343" t="s">
        <v>270</v>
      </c>
      <c r="M85" s="344"/>
      <c r="N85" s="344"/>
      <c r="O85" s="345"/>
      <c r="P85" s="10"/>
    </row>
    <row r="86" spans="1:16" ht="24" x14ac:dyDescent="0.3">
      <c r="A86" s="9"/>
      <c r="B86" s="26"/>
      <c r="C86" s="27"/>
      <c r="D86" s="328"/>
      <c r="E86" s="329"/>
      <c r="F86" s="214"/>
      <c r="G86" s="214"/>
      <c r="H86" s="214"/>
      <c r="I86" s="28"/>
      <c r="J86" s="214"/>
      <c r="K86" s="214"/>
      <c r="L86" s="330"/>
      <c r="M86" s="330"/>
      <c r="N86" s="330"/>
      <c r="O86" s="331"/>
      <c r="P86" s="10"/>
    </row>
    <row r="87" spans="1:16" ht="25" thickBot="1" x14ac:dyDescent="0.35">
      <c r="A87" s="9"/>
      <c r="B87" s="29"/>
      <c r="C87" s="30"/>
      <c r="D87" s="332"/>
      <c r="E87" s="333"/>
      <c r="F87" s="215"/>
      <c r="G87" s="215"/>
      <c r="H87" s="215"/>
      <c r="I87" s="31"/>
      <c r="J87" s="215"/>
      <c r="K87" s="215"/>
      <c r="L87" s="334"/>
      <c r="M87" s="334"/>
      <c r="N87" s="334"/>
      <c r="O87" s="335"/>
      <c r="P87" s="10"/>
    </row>
    <row r="88" spans="1:16" ht="17" thickBot="1" x14ac:dyDescent="0.25">
      <c r="A88" s="11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3"/>
    </row>
    <row r="89" spans="1:16" ht="17" thickBot="1" x14ac:dyDescent="0.25">
      <c r="A89" s="6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8"/>
    </row>
    <row r="90" spans="1:16" ht="25" thickBot="1" x14ac:dyDescent="0.35">
      <c r="A90" s="9"/>
      <c r="B90" s="32" t="s">
        <v>39</v>
      </c>
      <c r="C90" s="3"/>
      <c r="D90" s="231" t="s">
        <v>274</v>
      </c>
      <c r="E90" s="33"/>
      <c r="F90" s="33"/>
      <c r="G90" s="33"/>
      <c r="H90" s="34"/>
      <c r="I90" s="3"/>
      <c r="J90" s="3"/>
      <c r="K90" s="3"/>
      <c r="L90" s="3"/>
      <c r="M90" s="3"/>
      <c r="N90" s="3"/>
      <c r="O90" s="44"/>
      <c r="P90" s="10"/>
    </row>
    <row r="91" spans="1:16" ht="17" thickBot="1" x14ac:dyDescent="0.25">
      <c r="A91" s="9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10"/>
    </row>
    <row r="92" spans="1:16" ht="24" x14ac:dyDescent="0.3">
      <c r="A92" s="9"/>
      <c r="B92" s="24" t="s">
        <v>0</v>
      </c>
      <c r="C92" s="25" t="s">
        <v>29</v>
      </c>
      <c r="D92" s="336" t="s">
        <v>30</v>
      </c>
      <c r="E92" s="337"/>
      <c r="F92" s="25" t="s">
        <v>31</v>
      </c>
      <c r="G92" s="25" t="s">
        <v>32</v>
      </c>
      <c r="H92" s="25" t="s">
        <v>33</v>
      </c>
      <c r="I92" s="25" t="s">
        <v>34</v>
      </c>
      <c r="J92" s="25" t="s">
        <v>35</v>
      </c>
      <c r="K92" s="25" t="s">
        <v>36</v>
      </c>
      <c r="L92" s="338" t="s">
        <v>37</v>
      </c>
      <c r="M92" s="338"/>
      <c r="N92" s="338"/>
      <c r="O92" s="339"/>
      <c r="P92" s="10"/>
    </row>
    <row r="93" spans="1:16" ht="24" x14ac:dyDescent="0.3">
      <c r="A93" s="9"/>
      <c r="B93" s="26">
        <v>1</v>
      </c>
      <c r="C93" s="27" t="s">
        <v>322</v>
      </c>
      <c r="D93" s="328" t="s">
        <v>269</v>
      </c>
      <c r="E93" s="329"/>
      <c r="F93" s="214"/>
      <c r="G93" s="214"/>
      <c r="H93" s="214" t="s">
        <v>191</v>
      </c>
      <c r="I93" s="28" t="s">
        <v>203</v>
      </c>
      <c r="J93" s="214"/>
      <c r="K93" s="254" t="s">
        <v>191</v>
      </c>
      <c r="L93" s="330" t="s">
        <v>265</v>
      </c>
      <c r="M93" s="330"/>
      <c r="N93" s="330"/>
      <c r="O93" s="331"/>
      <c r="P93" s="10"/>
    </row>
    <row r="94" spans="1:16" ht="24" x14ac:dyDescent="0.3">
      <c r="A94" s="9"/>
      <c r="B94" s="26">
        <v>2</v>
      </c>
      <c r="C94" s="27" t="s">
        <v>255</v>
      </c>
      <c r="D94" s="328" t="s">
        <v>264</v>
      </c>
      <c r="E94" s="329"/>
      <c r="F94" s="214"/>
      <c r="G94" s="214"/>
      <c r="H94" s="214" t="s">
        <v>191</v>
      </c>
      <c r="I94" s="28" t="s">
        <v>203</v>
      </c>
      <c r="J94" s="214"/>
      <c r="K94" s="254" t="s">
        <v>191</v>
      </c>
      <c r="L94" s="343" t="s">
        <v>270</v>
      </c>
      <c r="M94" s="344"/>
      <c r="N94" s="344"/>
      <c r="O94" s="345"/>
      <c r="P94" s="10"/>
    </row>
    <row r="95" spans="1:16" ht="24" x14ac:dyDescent="0.3">
      <c r="A95" s="9"/>
      <c r="B95" s="26">
        <v>3</v>
      </c>
      <c r="C95" s="27" t="s">
        <v>257</v>
      </c>
      <c r="D95" s="328" t="s">
        <v>271</v>
      </c>
      <c r="E95" s="329"/>
      <c r="F95" s="214"/>
      <c r="G95" s="214"/>
      <c r="H95" s="214" t="s">
        <v>191</v>
      </c>
      <c r="I95" s="28" t="s">
        <v>188</v>
      </c>
      <c r="J95" s="214"/>
      <c r="K95" s="214"/>
      <c r="L95" s="368"/>
      <c r="M95" s="369"/>
      <c r="N95" s="369"/>
      <c r="O95" s="370"/>
      <c r="P95" s="10"/>
    </row>
    <row r="96" spans="1:16" ht="24" x14ac:dyDescent="0.3">
      <c r="A96" s="9"/>
      <c r="B96" s="26">
        <v>4</v>
      </c>
      <c r="C96" s="27" t="s">
        <v>258</v>
      </c>
      <c r="D96" s="328" t="s">
        <v>272</v>
      </c>
      <c r="E96" s="329"/>
      <c r="F96" s="214"/>
      <c r="G96" s="214"/>
      <c r="H96" s="214" t="s">
        <v>191</v>
      </c>
      <c r="I96" s="28" t="s">
        <v>188</v>
      </c>
      <c r="J96" s="214"/>
      <c r="K96" s="241"/>
      <c r="L96" s="330"/>
      <c r="M96" s="330"/>
      <c r="N96" s="330"/>
      <c r="O96" s="331"/>
      <c r="P96" s="10"/>
    </row>
    <row r="97" spans="1:16" ht="24" x14ac:dyDescent="0.3">
      <c r="A97" s="9"/>
      <c r="B97" s="26">
        <v>5</v>
      </c>
      <c r="C97" s="27" t="s">
        <v>247</v>
      </c>
      <c r="D97" s="328" t="s">
        <v>311</v>
      </c>
      <c r="E97" s="329"/>
      <c r="F97" s="214"/>
      <c r="G97" s="214"/>
      <c r="H97" s="214"/>
      <c r="I97" s="28" t="s">
        <v>190</v>
      </c>
      <c r="J97" s="214">
        <v>255</v>
      </c>
      <c r="K97" s="241"/>
      <c r="L97" s="330"/>
      <c r="M97" s="330"/>
      <c r="N97" s="330"/>
      <c r="O97" s="331"/>
      <c r="P97" s="10"/>
    </row>
    <row r="98" spans="1:16" ht="25" thickBot="1" x14ac:dyDescent="0.35">
      <c r="A98" s="9"/>
      <c r="B98" s="29"/>
      <c r="C98" s="30"/>
      <c r="D98" s="346"/>
      <c r="E98" s="347"/>
      <c r="F98" s="215"/>
      <c r="G98" s="215"/>
      <c r="H98" s="215"/>
      <c r="I98" s="31"/>
      <c r="J98" s="215"/>
      <c r="K98" s="215"/>
      <c r="L98" s="334"/>
      <c r="M98" s="334"/>
      <c r="N98" s="334"/>
      <c r="O98" s="335"/>
      <c r="P98" s="10"/>
    </row>
    <row r="99" spans="1:16" ht="24" x14ac:dyDescent="0.3">
      <c r="A99" s="9"/>
      <c r="B99" s="243"/>
      <c r="C99" s="243"/>
      <c r="D99" s="255"/>
      <c r="E99" s="255"/>
      <c r="F99" s="244"/>
      <c r="G99" s="244"/>
      <c r="H99" s="244"/>
      <c r="I99" s="245"/>
      <c r="J99" s="244"/>
      <c r="K99" s="244"/>
      <c r="L99" s="246"/>
      <c r="M99" s="246"/>
      <c r="N99" s="246"/>
      <c r="O99" s="246"/>
      <c r="P99" s="10"/>
    </row>
    <row r="100" spans="1:16" ht="17" thickBot="1" x14ac:dyDescent="0.25">
      <c r="A100" s="9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10"/>
    </row>
    <row r="101" spans="1:16" ht="25" thickBot="1" x14ac:dyDescent="0.35">
      <c r="A101" s="9"/>
      <c r="B101" s="32" t="s">
        <v>39</v>
      </c>
      <c r="C101" s="3"/>
      <c r="D101" s="231" t="s">
        <v>404</v>
      </c>
      <c r="E101" s="33"/>
      <c r="F101" s="33"/>
      <c r="G101" s="33"/>
      <c r="H101" s="34"/>
      <c r="I101" s="3"/>
      <c r="J101" s="3"/>
      <c r="K101" s="3"/>
      <c r="L101" s="3"/>
      <c r="M101" s="3"/>
      <c r="N101" s="3"/>
      <c r="O101" s="44"/>
      <c r="P101" s="10"/>
    </row>
    <row r="102" spans="1:16" ht="17" thickBot="1" x14ac:dyDescent="0.25">
      <c r="A102" s="9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10"/>
    </row>
    <row r="103" spans="1:16" ht="24" x14ac:dyDescent="0.3">
      <c r="A103" s="9"/>
      <c r="B103" s="24" t="s">
        <v>0</v>
      </c>
      <c r="C103" s="25" t="s">
        <v>29</v>
      </c>
      <c r="D103" s="336" t="s">
        <v>30</v>
      </c>
      <c r="E103" s="337"/>
      <c r="F103" s="25" t="s">
        <v>31</v>
      </c>
      <c r="G103" s="25" t="s">
        <v>32</v>
      </c>
      <c r="H103" s="25" t="s">
        <v>33</v>
      </c>
      <c r="I103" s="25" t="s">
        <v>34</v>
      </c>
      <c r="J103" s="25" t="s">
        <v>35</v>
      </c>
      <c r="K103" s="25" t="s">
        <v>36</v>
      </c>
      <c r="L103" s="338" t="s">
        <v>37</v>
      </c>
      <c r="M103" s="338"/>
      <c r="N103" s="338"/>
      <c r="O103" s="339"/>
      <c r="P103" s="10"/>
    </row>
    <row r="104" spans="1:16" ht="24" x14ac:dyDescent="0.3">
      <c r="A104" s="9"/>
      <c r="B104" s="26">
        <v>1</v>
      </c>
      <c r="C104" s="27" t="s">
        <v>217</v>
      </c>
      <c r="D104" s="328" t="s">
        <v>218</v>
      </c>
      <c r="E104" s="329"/>
      <c r="F104" s="214"/>
      <c r="G104" s="214"/>
      <c r="H104" s="214" t="s">
        <v>191</v>
      </c>
      <c r="I104" s="28" t="s">
        <v>203</v>
      </c>
      <c r="J104" s="214"/>
      <c r="K104" s="254" t="s">
        <v>191</v>
      </c>
      <c r="L104" s="330" t="s">
        <v>329</v>
      </c>
      <c r="M104" s="330"/>
      <c r="N104" s="330"/>
      <c r="O104" s="331"/>
      <c r="P104" s="10"/>
    </row>
    <row r="105" spans="1:16" ht="24" x14ac:dyDescent="0.3">
      <c r="A105" s="9"/>
      <c r="B105" s="26">
        <v>2</v>
      </c>
      <c r="C105" s="27" t="s">
        <v>405</v>
      </c>
      <c r="D105" s="328" t="s">
        <v>406</v>
      </c>
      <c r="E105" s="329"/>
      <c r="F105" s="214"/>
      <c r="G105" s="214"/>
      <c r="H105" s="214" t="s">
        <v>191</v>
      </c>
      <c r="I105" s="238" t="s">
        <v>188</v>
      </c>
      <c r="J105" s="214"/>
      <c r="K105" s="214"/>
      <c r="L105" s="330"/>
      <c r="M105" s="330"/>
      <c r="N105" s="330"/>
      <c r="O105" s="331"/>
      <c r="P105" s="10"/>
    </row>
    <row r="106" spans="1:16" ht="24" x14ac:dyDescent="0.3">
      <c r="A106" s="9"/>
      <c r="B106" s="235">
        <v>3</v>
      </c>
      <c r="C106" s="236" t="s">
        <v>407</v>
      </c>
      <c r="D106" s="239" t="s">
        <v>408</v>
      </c>
      <c r="E106" s="240"/>
      <c r="F106" s="237"/>
      <c r="G106" s="237"/>
      <c r="H106" s="214" t="s">
        <v>191</v>
      </c>
      <c r="I106" s="238" t="s">
        <v>188</v>
      </c>
      <c r="J106" s="237"/>
      <c r="K106" s="237"/>
      <c r="L106" s="343" t="s">
        <v>270</v>
      </c>
      <c r="M106" s="344"/>
      <c r="N106" s="344"/>
      <c r="O106" s="345"/>
      <c r="P106" s="10"/>
    </row>
    <row r="107" spans="1:16" ht="25" thickBot="1" x14ac:dyDescent="0.35">
      <c r="A107" s="9"/>
      <c r="B107" s="29"/>
      <c r="C107" s="30"/>
      <c r="D107" s="332"/>
      <c r="E107" s="333"/>
      <c r="F107" s="215"/>
      <c r="G107" s="215"/>
      <c r="H107" s="215"/>
      <c r="I107" s="31"/>
      <c r="J107" s="215"/>
      <c r="K107" s="215"/>
      <c r="L107" s="334"/>
      <c r="M107" s="334"/>
      <c r="N107" s="334"/>
      <c r="O107" s="335"/>
      <c r="P107" s="10"/>
    </row>
    <row r="108" spans="1:16" ht="24" x14ac:dyDescent="0.3">
      <c r="A108" s="9"/>
      <c r="B108" s="243"/>
      <c r="C108" s="243"/>
      <c r="D108" s="247"/>
      <c r="E108" s="247"/>
      <c r="F108" s="244"/>
      <c r="G108" s="244"/>
      <c r="H108" s="244"/>
      <c r="I108" s="245"/>
      <c r="J108" s="244"/>
      <c r="K108" s="244"/>
      <c r="L108" s="246"/>
      <c r="M108" s="246"/>
      <c r="N108" s="246"/>
      <c r="O108" s="246"/>
      <c r="P108" s="10"/>
    </row>
    <row r="109" spans="1:16" ht="17" thickBot="1" x14ac:dyDescent="0.25">
      <c r="A109" s="9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10"/>
    </row>
    <row r="110" spans="1:16" ht="25" thickBot="1" x14ac:dyDescent="0.35">
      <c r="A110" s="9"/>
      <c r="B110" s="32" t="s">
        <v>39</v>
      </c>
      <c r="C110" s="3"/>
      <c r="D110" s="231" t="s">
        <v>332</v>
      </c>
      <c r="E110" s="33"/>
      <c r="F110" s="33"/>
      <c r="G110" s="33"/>
      <c r="H110" s="34"/>
      <c r="I110" s="3"/>
      <c r="J110" s="3"/>
      <c r="K110" s="3"/>
      <c r="L110" s="3"/>
      <c r="M110" s="3"/>
      <c r="N110" s="3"/>
      <c r="O110" s="44"/>
      <c r="P110" s="10"/>
    </row>
    <row r="111" spans="1:16" ht="17" thickBot="1" x14ac:dyDescent="0.25">
      <c r="A111" s="9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0"/>
    </row>
    <row r="112" spans="1:16" ht="24" x14ac:dyDescent="0.3">
      <c r="A112" s="9"/>
      <c r="B112" s="24" t="s">
        <v>0</v>
      </c>
      <c r="C112" s="25" t="s">
        <v>29</v>
      </c>
      <c r="D112" s="336" t="s">
        <v>30</v>
      </c>
      <c r="E112" s="337"/>
      <c r="F112" s="25" t="s">
        <v>31</v>
      </c>
      <c r="G112" s="25" t="s">
        <v>32</v>
      </c>
      <c r="H112" s="25" t="s">
        <v>33</v>
      </c>
      <c r="I112" s="25" t="s">
        <v>34</v>
      </c>
      <c r="J112" s="25" t="s">
        <v>35</v>
      </c>
      <c r="K112" s="25" t="s">
        <v>36</v>
      </c>
      <c r="L112" s="338" t="s">
        <v>37</v>
      </c>
      <c r="M112" s="338"/>
      <c r="N112" s="338"/>
      <c r="O112" s="339"/>
      <c r="P112" s="10"/>
    </row>
    <row r="113" spans="1:16" ht="24" x14ac:dyDescent="0.3">
      <c r="A113" s="9"/>
      <c r="B113" s="26">
        <v>1</v>
      </c>
      <c r="C113" s="27" t="s">
        <v>322</v>
      </c>
      <c r="D113" s="328" t="s">
        <v>269</v>
      </c>
      <c r="E113" s="329"/>
      <c r="F113" s="214"/>
      <c r="G113" s="214"/>
      <c r="H113" s="214" t="s">
        <v>191</v>
      </c>
      <c r="I113" s="28" t="s">
        <v>203</v>
      </c>
      <c r="J113" s="214"/>
      <c r="K113" s="254" t="s">
        <v>191</v>
      </c>
      <c r="L113" s="330" t="s">
        <v>265</v>
      </c>
      <c r="M113" s="330"/>
      <c r="N113" s="330"/>
      <c r="O113" s="331"/>
      <c r="P113" s="10"/>
    </row>
    <row r="114" spans="1:16" ht="24" x14ac:dyDescent="0.3">
      <c r="A114" s="9"/>
      <c r="B114" s="26">
        <v>2</v>
      </c>
      <c r="C114" s="27" t="s">
        <v>330</v>
      </c>
      <c r="D114" s="328" t="s">
        <v>245</v>
      </c>
      <c r="E114" s="329"/>
      <c r="F114" s="214"/>
      <c r="G114" s="214"/>
      <c r="H114" s="214" t="s">
        <v>191</v>
      </c>
      <c r="I114" s="238" t="s">
        <v>188</v>
      </c>
      <c r="J114" s="214"/>
      <c r="K114" s="214"/>
      <c r="L114" s="330" t="s">
        <v>346</v>
      </c>
      <c r="M114" s="330"/>
      <c r="N114" s="330"/>
      <c r="O114" s="331"/>
      <c r="P114" s="10"/>
    </row>
    <row r="115" spans="1:16" ht="24" x14ac:dyDescent="0.3">
      <c r="A115" s="9"/>
      <c r="B115" s="235">
        <v>3</v>
      </c>
      <c r="C115" s="236" t="s">
        <v>335</v>
      </c>
      <c r="D115" s="239" t="s">
        <v>336</v>
      </c>
      <c r="E115" s="240"/>
      <c r="F115" s="237"/>
      <c r="G115" s="237"/>
      <c r="H115" s="214" t="s">
        <v>191</v>
      </c>
      <c r="I115" s="238" t="s">
        <v>188</v>
      </c>
      <c r="J115" s="237"/>
      <c r="K115" s="237"/>
      <c r="L115" s="385"/>
      <c r="M115" s="386"/>
      <c r="N115" s="386"/>
      <c r="O115" s="387"/>
      <c r="P115" s="10"/>
    </row>
    <row r="116" spans="1:16" ht="25" thickBot="1" x14ac:dyDescent="0.35">
      <c r="A116" s="9"/>
      <c r="B116" s="29"/>
      <c r="C116" s="30"/>
      <c r="D116" s="332"/>
      <c r="E116" s="333"/>
      <c r="F116" s="215"/>
      <c r="G116" s="215"/>
      <c r="H116" s="215"/>
      <c r="I116" s="31"/>
      <c r="J116" s="215"/>
      <c r="K116" s="215"/>
      <c r="L116" s="334"/>
      <c r="M116" s="334"/>
      <c r="N116" s="334"/>
      <c r="O116" s="335"/>
      <c r="P116" s="10"/>
    </row>
    <row r="117" spans="1:16" ht="25" thickBot="1" x14ac:dyDescent="0.35">
      <c r="A117" s="9"/>
      <c r="B117" s="243"/>
      <c r="C117" s="243"/>
      <c r="D117" s="247"/>
      <c r="E117" s="247"/>
      <c r="F117" s="244"/>
      <c r="G117" s="244"/>
      <c r="H117" s="244"/>
      <c r="I117" s="245"/>
      <c r="J117" s="244"/>
      <c r="K117" s="244"/>
      <c r="L117" s="246"/>
      <c r="M117" s="246"/>
      <c r="N117" s="246"/>
      <c r="O117" s="246"/>
      <c r="P117" s="10"/>
    </row>
    <row r="118" spans="1:16" ht="25" thickBot="1" x14ac:dyDescent="0.35">
      <c r="A118" s="9"/>
      <c r="B118" s="32" t="s">
        <v>39</v>
      </c>
      <c r="C118" s="3"/>
      <c r="D118" s="231" t="s">
        <v>413</v>
      </c>
      <c r="E118" s="33"/>
      <c r="F118" s="33"/>
      <c r="G118" s="33"/>
      <c r="H118" s="34"/>
      <c r="I118" s="3"/>
      <c r="J118" s="3"/>
      <c r="K118" s="3"/>
      <c r="L118" s="3"/>
      <c r="M118" s="3"/>
      <c r="N118" s="3"/>
      <c r="O118" s="44"/>
      <c r="P118" s="10"/>
    </row>
    <row r="119" spans="1:16" ht="17" thickBot="1" x14ac:dyDescent="0.25">
      <c r="A119" s="9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10"/>
    </row>
    <row r="120" spans="1:16" ht="24" x14ac:dyDescent="0.3">
      <c r="A120" s="9"/>
      <c r="B120" s="24" t="s">
        <v>0</v>
      </c>
      <c r="C120" s="25" t="s">
        <v>29</v>
      </c>
      <c r="D120" s="336" t="s">
        <v>30</v>
      </c>
      <c r="E120" s="337"/>
      <c r="F120" s="25" t="s">
        <v>31</v>
      </c>
      <c r="G120" s="25" t="s">
        <v>32</v>
      </c>
      <c r="H120" s="25" t="s">
        <v>33</v>
      </c>
      <c r="I120" s="25" t="s">
        <v>34</v>
      </c>
      <c r="J120" s="25" t="s">
        <v>35</v>
      </c>
      <c r="K120" s="25" t="s">
        <v>36</v>
      </c>
      <c r="L120" s="338" t="s">
        <v>37</v>
      </c>
      <c r="M120" s="338"/>
      <c r="N120" s="338"/>
      <c r="O120" s="339"/>
      <c r="P120" s="10"/>
    </row>
    <row r="121" spans="1:16" ht="24" x14ac:dyDescent="0.3">
      <c r="A121" s="9"/>
      <c r="B121" s="26">
        <v>1</v>
      </c>
      <c r="C121" s="27" t="s">
        <v>279</v>
      </c>
      <c r="D121" s="328" t="s">
        <v>302</v>
      </c>
      <c r="E121" s="329"/>
      <c r="F121" s="214" t="s">
        <v>191</v>
      </c>
      <c r="G121" s="3"/>
      <c r="H121" s="214" t="s">
        <v>191</v>
      </c>
      <c r="I121" s="28" t="s">
        <v>190</v>
      </c>
      <c r="J121" s="214">
        <v>128</v>
      </c>
      <c r="K121" s="214"/>
      <c r="L121" s="343"/>
      <c r="M121" s="344"/>
      <c r="N121" s="344"/>
      <c r="O121" s="345"/>
      <c r="P121" s="10"/>
    </row>
    <row r="122" spans="1:16" ht="24" x14ac:dyDescent="0.3">
      <c r="A122" s="9"/>
      <c r="B122" s="26">
        <v>2</v>
      </c>
      <c r="C122" s="27" t="s">
        <v>287</v>
      </c>
      <c r="D122" s="328" t="s">
        <v>185</v>
      </c>
      <c r="E122" s="329"/>
      <c r="F122" s="214"/>
      <c r="G122" s="214"/>
      <c r="H122" s="214" t="s">
        <v>191</v>
      </c>
      <c r="I122" s="28" t="s">
        <v>190</v>
      </c>
      <c r="J122" s="214">
        <v>128</v>
      </c>
      <c r="K122" s="214">
        <v>128</v>
      </c>
      <c r="L122" s="330"/>
      <c r="M122" s="330"/>
      <c r="N122" s="330"/>
      <c r="O122" s="331"/>
      <c r="P122" s="10"/>
    </row>
    <row r="123" spans="1:16" ht="24" x14ac:dyDescent="0.3">
      <c r="A123" s="9"/>
      <c r="B123" s="235">
        <v>3</v>
      </c>
      <c r="C123" s="236" t="s">
        <v>365</v>
      </c>
      <c r="D123" s="239" t="s">
        <v>187</v>
      </c>
      <c r="E123" s="240"/>
      <c r="F123" s="237"/>
      <c r="G123" s="237"/>
      <c r="H123" s="214" t="s">
        <v>191</v>
      </c>
      <c r="I123" s="238" t="s">
        <v>188</v>
      </c>
      <c r="J123" s="237"/>
      <c r="K123" s="237"/>
      <c r="L123" s="371" t="s">
        <v>367</v>
      </c>
      <c r="M123" s="372"/>
      <c r="N123" s="372"/>
      <c r="O123" s="373"/>
      <c r="P123" s="10"/>
    </row>
    <row r="124" spans="1:16" ht="24" x14ac:dyDescent="0.3">
      <c r="A124" s="9"/>
      <c r="B124" s="235">
        <v>4</v>
      </c>
      <c r="C124" s="236" t="s">
        <v>366</v>
      </c>
      <c r="D124" s="239" t="s">
        <v>368</v>
      </c>
      <c r="E124" s="240"/>
      <c r="F124" s="237"/>
      <c r="G124" s="237"/>
      <c r="H124" s="214" t="s">
        <v>191</v>
      </c>
      <c r="I124" s="238" t="s">
        <v>190</v>
      </c>
      <c r="J124" s="237">
        <v>128</v>
      </c>
      <c r="K124" s="237"/>
      <c r="L124" s="371" t="s">
        <v>369</v>
      </c>
      <c r="M124" s="372"/>
      <c r="N124" s="372"/>
      <c r="O124" s="373"/>
      <c r="P124" s="10"/>
    </row>
    <row r="125" spans="1:16" ht="24" x14ac:dyDescent="0.3">
      <c r="A125" s="9"/>
      <c r="B125" s="235">
        <v>5</v>
      </c>
      <c r="C125" s="27" t="s">
        <v>217</v>
      </c>
      <c r="D125" s="328" t="s">
        <v>218</v>
      </c>
      <c r="E125" s="329"/>
      <c r="F125" s="214"/>
      <c r="G125" s="214"/>
      <c r="H125" s="214" t="s">
        <v>191</v>
      </c>
      <c r="I125" s="28" t="s">
        <v>203</v>
      </c>
      <c r="J125" s="214"/>
      <c r="K125" s="254" t="s">
        <v>191</v>
      </c>
      <c r="L125" s="330" t="s">
        <v>329</v>
      </c>
      <c r="M125" s="330"/>
      <c r="N125" s="330"/>
      <c r="O125" s="331"/>
      <c r="P125" s="10"/>
    </row>
    <row r="126" spans="1:16" ht="24" x14ac:dyDescent="0.3">
      <c r="A126" s="9"/>
      <c r="B126" s="235">
        <v>6</v>
      </c>
      <c r="C126" s="236" t="s">
        <v>372</v>
      </c>
      <c r="D126" s="239" t="s">
        <v>193</v>
      </c>
      <c r="E126" s="240"/>
      <c r="F126" s="237"/>
      <c r="G126" s="237"/>
      <c r="H126" s="214" t="s">
        <v>191</v>
      </c>
      <c r="I126" s="238" t="s">
        <v>192</v>
      </c>
      <c r="J126" s="237"/>
      <c r="K126" s="237"/>
      <c r="L126" s="385"/>
      <c r="M126" s="386"/>
      <c r="N126" s="386"/>
      <c r="O126" s="387"/>
      <c r="P126" s="10"/>
    </row>
    <row r="127" spans="1:16" ht="25" thickBot="1" x14ac:dyDescent="0.35">
      <c r="A127" s="9"/>
      <c r="B127" s="29"/>
      <c r="C127" s="30"/>
      <c r="D127" s="332"/>
      <c r="E127" s="333"/>
      <c r="F127" s="215"/>
      <c r="G127" s="215"/>
      <c r="H127" s="215"/>
      <c r="I127" s="31"/>
      <c r="J127" s="215"/>
      <c r="K127" s="215"/>
      <c r="L127" s="334"/>
      <c r="M127" s="334"/>
      <c r="N127" s="334"/>
      <c r="O127" s="335"/>
      <c r="P127" s="10"/>
    </row>
    <row r="128" spans="1:16" ht="24" x14ac:dyDescent="0.3">
      <c r="A128" s="9"/>
      <c r="B128" s="243"/>
      <c r="C128" s="243"/>
      <c r="D128" s="247"/>
      <c r="E128" s="247"/>
      <c r="F128" s="244"/>
      <c r="G128" s="244"/>
      <c r="H128" s="244"/>
      <c r="I128" s="245"/>
      <c r="J128" s="244"/>
      <c r="K128" s="244"/>
      <c r="L128" s="246"/>
      <c r="M128" s="246"/>
      <c r="N128" s="246"/>
      <c r="O128" s="246"/>
      <c r="P128" s="10"/>
    </row>
    <row r="129" spans="1:16" ht="17" thickBot="1" x14ac:dyDescent="0.25">
      <c r="A129" s="9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10"/>
    </row>
    <row r="130" spans="1:16" ht="25" thickBot="1" x14ac:dyDescent="0.35">
      <c r="A130" s="9"/>
      <c r="B130" s="32" t="s">
        <v>39</v>
      </c>
      <c r="C130" s="3"/>
      <c r="D130" s="231" t="s">
        <v>277</v>
      </c>
      <c r="E130" s="33"/>
      <c r="F130" s="33"/>
      <c r="G130" s="33"/>
      <c r="H130" s="34"/>
      <c r="I130" s="3"/>
      <c r="J130" s="3"/>
      <c r="K130" s="3"/>
      <c r="L130" s="3"/>
      <c r="M130" s="3"/>
      <c r="N130" s="3"/>
      <c r="O130" s="44"/>
      <c r="P130" s="10"/>
    </row>
    <row r="131" spans="1:16" ht="17" thickBot="1" x14ac:dyDescent="0.25">
      <c r="A131" s="9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10"/>
    </row>
    <row r="132" spans="1:16" ht="24" x14ac:dyDescent="0.3">
      <c r="A132" s="9"/>
      <c r="B132" s="24" t="s">
        <v>0</v>
      </c>
      <c r="C132" s="25" t="s">
        <v>29</v>
      </c>
      <c r="D132" s="336" t="s">
        <v>30</v>
      </c>
      <c r="E132" s="337"/>
      <c r="F132" s="25" t="s">
        <v>31</v>
      </c>
      <c r="G132" s="25" t="s">
        <v>32</v>
      </c>
      <c r="H132" s="25" t="s">
        <v>33</v>
      </c>
      <c r="I132" s="25" t="s">
        <v>34</v>
      </c>
      <c r="J132" s="25" t="s">
        <v>35</v>
      </c>
      <c r="K132" s="25" t="s">
        <v>36</v>
      </c>
      <c r="L132" s="338" t="s">
        <v>37</v>
      </c>
      <c r="M132" s="338"/>
      <c r="N132" s="338"/>
      <c r="O132" s="339"/>
      <c r="P132" s="10"/>
    </row>
    <row r="133" spans="1:16" ht="257" customHeight="1" x14ac:dyDescent="0.2">
      <c r="A133" s="9"/>
      <c r="B133" s="234">
        <v>1</v>
      </c>
      <c r="C133" s="233" t="s">
        <v>291</v>
      </c>
      <c r="D133" s="340" t="s">
        <v>299</v>
      </c>
      <c r="E133" s="341"/>
      <c r="F133" s="214" t="s">
        <v>191</v>
      </c>
      <c r="G133" s="214"/>
      <c r="H133" s="214" t="s">
        <v>191</v>
      </c>
      <c r="I133" s="28" t="s">
        <v>190</v>
      </c>
      <c r="J133" s="214">
        <v>12</v>
      </c>
      <c r="K133" s="214"/>
      <c r="L133" s="382" t="s">
        <v>292</v>
      </c>
      <c r="M133" s="383"/>
      <c r="N133" s="383"/>
      <c r="O133" s="384"/>
      <c r="P133" s="10"/>
    </row>
    <row r="134" spans="1:16" ht="24" x14ac:dyDescent="0.3">
      <c r="A134" s="9"/>
      <c r="B134" s="26">
        <v>2</v>
      </c>
      <c r="C134" s="27" t="s">
        <v>298</v>
      </c>
      <c r="D134" s="328" t="s">
        <v>300</v>
      </c>
      <c r="E134" s="329"/>
      <c r="F134" s="214"/>
      <c r="G134" s="214"/>
      <c r="H134" s="214"/>
      <c r="I134" s="28" t="s">
        <v>190</v>
      </c>
      <c r="J134" s="214">
        <v>255</v>
      </c>
      <c r="K134" s="214"/>
      <c r="L134" s="380"/>
      <c r="M134" s="380"/>
      <c r="N134" s="380"/>
      <c r="O134" s="381"/>
      <c r="P134" s="10"/>
    </row>
    <row r="135" spans="1:16" ht="24" x14ac:dyDescent="0.3">
      <c r="A135" s="9"/>
      <c r="B135" s="26">
        <v>3</v>
      </c>
      <c r="C135" s="27" t="s">
        <v>278</v>
      </c>
      <c r="D135" s="328" t="s">
        <v>301</v>
      </c>
      <c r="E135" s="329"/>
      <c r="F135" s="214"/>
      <c r="G135" s="214"/>
      <c r="H135" s="214" t="s">
        <v>191</v>
      </c>
      <c r="I135" s="28" t="s">
        <v>190</v>
      </c>
      <c r="J135" s="214">
        <v>30</v>
      </c>
      <c r="K135" s="214"/>
      <c r="L135" s="380"/>
      <c r="M135" s="380"/>
      <c r="N135" s="380"/>
      <c r="O135" s="381"/>
      <c r="P135" s="10"/>
    </row>
    <row r="136" spans="1:16" ht="24" x14ac:dyDescent="0.3">
      <c r="A136" s="9"/>
      <c r="B136" s="26">
        <v>4</v>
      </c>
      <c r="C136" s="27" t="s">
        <v>280</v>
      </c>
      <c r="D136" s="328" t="s">
        <v>303</v>
      </c>
      <c r="E136" s="329"/>
      <c r="F136" s="214"/>
      <c r="G136" s="214"/>
      <c r="H136" s="214"/>
      <c r="I136" s="28" t="s">
        <v>188</v>
      </c>
      <c r="J136" s="214"/>
      <c r="K136" s="214"/>
      <c r="L136" s="390"/>
      <c r="M136" s="391"/>
      <c r="N136" s="391"/>
      <c r="O136" s="392"/>
      <c r="P136" s="10"/>
    </row>
    <row r="137" spans="1:16" ht="24" x14ac:dyDescent="0.3">
      <c r="A137" s="9"/>
      <c r="B137" s="26">
        <v>5</v>
      </c>
      <c r="C137" s="27" t="s">
        <v>281</v>
      </c>
      <c r="D137" s="328" t="s">
        <v>304</v>
      </c>
      <c r="E137" s="329"/>
      <c r="F137" s="214"/>
      <c r="G137" s="214"/>
      <c r="H137" s="214"/>
      <c r="I137" s="28" t="s">
        <v>188</v>
      </c>
      <c r="J137" s="214"/>
      <c r="K137" s="241"/>
      <c r="L137" s="377" t="s">
        <v>294</v>
      </c>
      <c r="M137" s="378"/>
      <c r="N137" s="378"/>
      <c r="O137" s="379"/>
      <c r="P137" s="10"/>
    </row>
    <row r="138" spans="1:16" ht="24" x14ac:dyDescent="0.3">
      <c r="A138" s="9"/>
      <c r="B138" s="26">
        <v>6</v>
      </c>
      <c r="C138" s="27" t="s">
        <v>282</v>
      </c>
      <c r="D138" s="328" t="s">
        <v>304</v>
      </c>
      <c r="E138" s="329"/>
      <c r="F138" s="214"/>
      <c r="G138" s="214"/>
      <c r="H138" s="214"/>
      <c r="I138" s="28" t="s">
        <v>188</v>
      </c>
      <c r="J138" s="214"/>
      <c r="K138" s="241"/>
      <c r="L138" s="377" t="s">
        <v>293</v>
      </c>
      <c r="M138" s="378"/>
      <c r="N138" s="378"/>
      <c r="O138" s="379"/>
      <c r="P138" s="10"/>
    </row>
    <row r="139" spans="1:16" ht="24" x14ac:dyDescent="0.3">
      <c r="A139" s="9"/>
      <c r="B139" s="26">
        <v>7</v>
      </c>
      <c r="C139" s="27" t="s">
        <v>283</v>
      </c>
      <c r="D139" s="328" t="s">
        <v>304</v>
      </c>
      <c r="E139" s="329"/>
      <c r="F139" s="214"/>
      <c r="G139" s="214"/>
      <c r="H139" s="214"/>
      <c r="I139" s="28" t="s">
        <v>190</v>
      </c>
      <c r="J139" s="214">
        <v>128</v>
      </c>
      <c r="K139" s="241"/>
      <c r="L139" s="377"/>
      <c r="M139" s="378"/>
      <c r="N139" s="378"/>
      <c r="O139" s="379"/>
      <c r="P139" s="10"/>
    </row>
    <row r="140" spans="1:16" ht="24" x14ac:dyDescent="0.3">
      <c r="A140" s="9"/>
      <c r="B140" s="26">
        <v>8</v>
      </c>
      <c r="C140" s="27" t="s">
        <v>284</v>
      </c>
      <c r="D140" s="328" t="s">
        <v>305</v>
      </c>
      <c r="E140" s="329"/>
      <c r="F140" s="214"/>
      <c r="G140" s="214"/>
      <c r="H140" s="214"/>
      <c r="I140" s="28" t="s">
        <v>190</v>
      </c>
      <c r="J140" s="214">
        <v>255</v>
      </c>
      <c r="K140" s="241"/>
      <c r="L140" s="377" t="s">
        <v>295</v>
      </c>
      <c r="M140" s="378"/>
      <c r="N140" s="378"/>
      <c r="O140" s="379"/>
      <c r="P140" s="10"/>
    </row>
    <row r="141" spans="1:16" ht="24" x14ac:dyDescent="0.3">
      <c r="A141" s="9"/>
      <c r="B141" s="26">
        <v>9</v>
      </c>
      <c r="C141" s="27" t="s">
        <v>285</v>
      </c>
      <c r="D141" s="328" t="s">
        <v>306</v>
      </c>
      <c r="E141" s="329"/>
      <c r="F141" s="214"/>
      <c r="G141" s="214"/>
      <c r="H141" s="214"/>
      <c r="I141" s="28" t="s">
        <v>190</v>
      </c>
      <c r="J141" s="214">
        <v>255</v>
      </c>
      <c r="K141" s="241"/>
      <c r="L141" s="377" t="s">
        <v>296</v>
      </c>
      <c r="M141" s="378"/>
      <c r="N141" s="378"/>
      <c r="O141" s="379"/>
      <c r="P141" s="10"/>
    </row>
    <row r="142" spans="1:16" ht="24" x14ac:dyDescent="0.3">
      <c r="A142" s="9"/>
      <c r="B142" s="26">
        <v>10</v>
      </c>
      <c r="C142" s="27" t="s">
        <v>370</v>
      </c>
      <c r="D142" s="249" t="s">
        <v>371</v>
      </c>
      <c r="E142" s="250"/>
      <c r="F142" s="214"/>
      <c r="G142" s="214"/>
      <c r="H142" s="214"/>
      <c r="I142" s="28" t="s">
        <v>192</v>
      </c>
      <c r="J142" s="214"/>
      <c r="K142" s="241"/>
      <c r="L142" s="251"/>
      <c r="M142" s="252"/>
      <c r="N142" s="252"/>
      <c r="O142" s="253"/>
      <c r="P142" s="10"/>
    </row>
    <row r="143" spans="1:16" ht="24" x14ac:dyDescent="0.3">
      <c r="A143" s="9"/>
      <c r="B143" s="26">
        <v>11</v>
      </c>
      <c r="C143" s="27" t="s">
        <v>286</v>
      </c>
      <c r="D143" s="328" t="s">
        <v>307</v>
      </c>
      <c r="E143" s="329"/>
      <c r="F143" s="214"/>
      <c r="G143" s="214"/>
      <c r="H143" s="214"/>
      <c r="I143" s="28" t="s">
        <v>188</v>
      </c>
      <c r="J143" s="214"/>
      <c r="K143" s="241"/>
      <c r="L143" s="380" t="s">
        <v>297</v>
      </c>
      <c r="M143" s="380"/>
      <c r="N143" s="380"/>
      <c r="O143" s="381"/>
      <c r="P143" s="10"/>
    </row>
    <row r="144" spans="1:16" ht="24" x14ac:dyDescent="0.3">
      <c r="A144" s="9"/>
      <c r="B144" s="26">
        <v>12</v>
      </c>
      <c r="C144" s="27" t="s">
        <v>288</v>
      </c>
      <c r="D144" s="328" t="s">
        <v>309</v>
      </c>
      <c r="E144" s="329"/>
      <c r="F144" s="214"/>
      <c r="G144" s="214"/>
      <c r="H144" s="214"/>
      <c r="I144" s="28" t="s">
        <v>188</v>
      </c>
      <c r="J144" s="214"/>
      <c r="K144" s="241"/>
      <c r="L144" s="380" t="s">
        <v>354</v>
      </c>
      <c r="M144" s="380"/>
      <c r="N144" s="380"/>
      <c r="O144" s="381"/>
      <c r="P144" s="10"/>
    </row>
    <row r="145" spans="1:16" ht="24" x14ac:dyDescent="0.3">
      <c r="A145" s="9"/>
      <c r="B145" s="26">
        <v>13</v>
      </c>
      <c r="C145" s="27" t="s">
        <v>289</v>
      </c>
      <c r="D145" s="328" t="s">
        <v>308</v>
      </c>
      <c r="E145" s="329"/>
      <c r="F145" s="214"/>
      <c r="G145" s="214"/>
      <c r="H145" s="214"/>
      <c r="I145" s="28" t="s">
        <v>188</v>
      </c>
      <c r="J145" s="214"/>
      <c r="K145" s="241"/>
      <c r="L145" s="380" t="s">
        <v>350</v>
      </c>
      <c r="M145" s="380"/>
      <c r="N145" s="380"/>
      <c r="O145" s="381"/>
      <c r="P145" s="10"/>
    </row>
    <row r="146" spans="1:16" ht="24" x14ac:dyDescent="0.3">
      <c r="A146" s="9"/>
      <c r="B146" s="235">
        <v>14</v>
      </c>
      <c r="C146" s="236" t="s">
        <v>290</v>
      </c>
      <c r="D146" s="328" t="s">
        <v>310</v>
      </c>
      <c r="E146" s="329"/>
      <c r="F146" s="237"/>
      <c r="G146" s="237"/>
      <c r="H146" s="237"/>
      <c r="I146" s="238" t="s">
        <v>190</v>
      </c>
      <c r="J146" s="237">
        <v>255</v>
      </c>
      <c r="K146" s="242"/>
      <c r="L146" s="380"/>
      <c r="M146" s="380"/>
      <c r="N146" s="380"/>
      <c r="O146" s="381"/>
      <c r="P146" s="10"/>
    </row>
    <row r="147" spans="1:16" ht="25" thickBot="1" x14ac:dyDescent="0.35">
      <c r="A147" s="9"/>
      <c r="B147" s="29"/>
      <c r="C147" s="30"/>
      <c r="D147" s="332"/>
      <c r="E147" s="333"/>
      <c r="F147" s="215"/>
      <c r="G147" s="215"/>
      <c r="H147" s="215"/>
      <c r="I147" s="31"/>
      <c r="J147" s="215"/>
      <c r="K147" s="215"/>
      <c r="L147" s="388"/>
      <c r="M147" s="388"/>
      <c r="N147" s="388"/>
      <c r="O147" s="389"/>
      <c r="P147" s="10"/>
    </row>
    <row r="148" spans="1:16" x14ac:dyDescent="0.2">
      <c r="A148" s="9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0"/>
    </row>
    <row r="149" spans="1:16" x14ac:dyDescent="0.2">
      <c r="A149" s="9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0"/>
    </row>
    <row r="150" spans="1:16" ht="17" thickBot="1" x14ac:dyDescent="0.25">
      <c r="A150" s="9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10"/>
    </row>
    <row r="151" spans="1:16" ht="25" thickBot="1" x14ac:dyDescent="0.35">
      <c r="A151" s="9"/>
      <c r="B151" s="32" t="s">
        <v>39</v>
      </c>
      <c r="C151" s="3"/>
      <c r="D151" s="231" t="s">
        <v>333</v>
      </c>
      <c r="E151" s="33"/>
      <c r="F151" s="33"/>
      <c r="G151" s="33"/>
      <c r="H151" s="34"/>
      <c r="I151" s="3"/>
      <c r="J151" s="3"/>
      <c r="K151" s="3"/>
      <c r="L151" s="3"/>
      <c r="M151" s="3"/>
      <c r="N151" s="3"/>
      <c r="O151" s="44"/>
      <c r="P151" s="10"/>
    </row>
    <row r="152" spans="1:16" ht="17" thickBot="1" x14ac:dyDescent="0.25">
      <c r="A152" s="9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10"/>
    </row>
    <row r="153" spans="1:16" ht="24" x14ac:dyDescent="0.3">
      <c r="A153" s="9"/>
      <c r="B153" s="24" t="s">
        <v>0</v>
      </c>
      <c r="C153" s="25" t="s">
        <v>29</v>
      </c>
      <c r="D153" s="336" t="s">
        <v>30</v>
      </c>
      <c r="E153" s="337"/>
      <c r="F153" s="25" t="s">
        <v>31</v>
      </c>
      <c r="G153" s="25" t="s">
        <v>32</v>
      </c>
      <c r="H153" s="25" t="s">
        <v>33</v>
      </c>
      <c r="I153" s="25" t="s">
        <v>34</v>
      </c>
      <c r="J153" s="25" t="s">
        <v>35</v>
      </c>
      <c r="K153" s="25" t="s">
        <v>36</v>
      </c>
      <c r="L153" s="338" t="s">
        <v>37</v>
      </c>
      <c r="M153" s="338"/>
      <c r="N153" s="338"/>
      <c r="O153" s="339"/>
      <c r="P153" s="10"/>
    </row>
    <row r="154" spans="1:16" ht="24" x14ac:dyDescent="0.3">
      <c r="A154" s="9"/>
      <c r="B154" s="26">
        <v>1</v>
      </c>
      <c r="C154" s="27" t="s">
        <v>312</v>
      </c>
      <c r="D154" s="328" t="s">
        <v>315</v>
      </c>
      <c r="E154" s="329"/>
      <c r="F154" s="214"/>
      <c r="G154" s="214"/>
      <c r="H154" s="214" t="s">
        <v>191</v>
      </c>
      <c r="I154" s="238" t="s">
        <v>190</v>
      </c>
      <c r="J154" s="214">
        <v>255</v>
      </c>
      <c r="K154" s="214"/>
      <c r="L154" s="330"/>
      <c r="M154" s="330"/>
      <c r="N154" s="330"/>
      <c r="O154" s="331"/>
      <c r="P154" s="10"/>
    </row>
    <row r="155" spans="1:16" ht="24" x14ac:dyDescent="0.3">
      <c r="A155" s="9"/>
      <c r="B155" s="26">
        <v>2</v>
      </c>
      <c r="C155" s="27" t="s">
        <v>313</v>
      </c>
      <c r="D155" s="328" t="s">
        <v>316</v>
      </c>
      <c r="E155" s="329"/>
      <c r="F155" s="214"/>
      <c r="G155" s="214"/>
      <c r="H155" s="214"/>
      <c r="I155" s="238" t="s">
        <v>190</v>
      </c>
      <c r="J155" s="214">
        <v>255</v>
      </c>
      <c r="K155" s="214"/>
      <c r="L155" s="330"/>
      <c r="M155" s="330"/>
      <c r="N155" s="330"/>
      <c r="O155" s="331"/>
      <c r="P155" s="10"/>
    </row>
    <row r="156" spans="1:16" ht="24" x14ac:dyDescent="0.3">
      <c r="A156" s="9"/>
      <c r="B156" s="26">
        <v>3</v>
      </c>
      <c r="C156" s="27" t="s">
        <v>324</v>
      </c>
      <c r="D156" s="249" t="s">
        <v>325</v>
      </c>
      <c r="E156" s="250"/>
      <c r="F156" s="214"/>
      <c r="G156" s="214"/>
      <c r="H156" s="214"/>
      <c r="I156" s="238" t="s">
        <v>190</v>
      </c>
      <c r="J156" s="214">
        <v>255</v>
      </c>
      <c r="K156" s="214"/>
      <c r="L156" s="330"/>
      <c r="M156" s="330"/>
      <c r="N156" s="330"/>
      <c r="O156" s="331"/>
      <c r="P156" s="10"/>
    </row>
    <row r="157" spans="1:16" ht="24" x14ac:dyDescent="0.3">
      <c r="A157" s="9"/>
      <c r="B157" s="26">
        <v>4</v>
      </c>
      <c r="C157" s="27" t="s">
        <v>314</v>
      </c>
      <c r="D157" s="328" t="s">
        <v>317</v>
      </c>
      <c r="E157" s="329"/>
      <c r="F157" s="214"/>
      <c r="G157" s="214"/>
      <c r="H157" s="214" t="s">
        <v>191</v>
      </c>
      <c r="I157" s="28" t="s">
        <v>188</v>
      </c>
      <c r="J157" s="214"/>
      <c r="K157" s="214"/>
      <c r="L157" s="330" t="s">
        <v>347</v>
      </c>
      <c r="M157" s="330"/>
      <c r="N157" s="330"/>
      <c r="O157" s="331"/>
      <c r="P157" s="10"/>
    </row>
    <row r="158" spans="1:16" ht="24" x14ac:dyDescent="0.3">
      <c r="A158" s="9"/>
      <c r="B158" s="26">
        <v>5</v>
      </c>
      <c r="C158" s="27" t="s">
        <v>318</v>
      </c>
      <c r="D158" s="328" t="s">
        <v>319</v>
      </c>
      <c r="E158" s="329"/>
      <c r="F158" s="214"/>
      <c r="G158" s="214"/>
      <c r="H158" s="214" t="s">
        <v>191</v>
      </c>
      <c r="I158" s="28" t="s">
        <v>203</v>
      </c>
      <c r="J158" s="214"/>
      <c r="K158" s="254" t="s">
        <v>191</v>
      </c>
      <c r="L158" s="330" t="s">
        <v>270</v>
      </c>
      <c r="M158" s="330"/>
      <c r="N158" s="330"/>
      <c r="O158" s="331"/>
      <c r="P158" s="10"/>
    </row>
    <row r="159" spans="1:16" ht="25" thickBot="1" x14ac:dyDescent="0.35">
      <c r="A159" s="9"/>
      <c r="B159" s="29"/>
      <c r="C159" s="30"/>
      <c r="D159" s="332"/>
      <c r="E159" s="333"/>
      <c r="F159" s="215"/>
      <c r="G159" s="215"/>
      <c r="H159" s="215"/>
      <c r="I159" s="31"/>
      <c r="J159" s="215"/>
      <c r="K159" s="215"/>
      <c r="L159" s="334"/>
      <c r="M159" s="334"/>
      <c r="N159" s="334"/>
      <c r="O159" s="335"/>
      <c r="P159" s="10"/>
    </row>
    <row r="160" spans="1:16" x14ac:dyDescent="0.2">
      <c r="A160" s="9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10"/>
    </row>
    <row r="161" spans="1:16" ht="17" thickBot="1" x14ac:dyDescent="0.25">
      <c r="A161" s="9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10"/>
    </row>
    <row r="162" spans="1:16" ht="25" thickBot="1" x14ac:dyDescent="0.35">
      <c r="A162" s="9"/>
      <c r="B162" s="32" t="s">
        <v>39</v>
      </c>
      <c r="C162" s="3"/>
      <c r="D162" s="231" t="s">
        <v>384</v>
      </c>
      <c r="E162" s="33"/>
      <c r="F162" s="33"/>
      <c r="G162" s="33"/>
      <c r="H162" s="34"/>
      <c r="I162" s="3"/>
      <c r="J162" s="3"/>
      <c r="K162" s="3"/>
      <c r="L162" s="3"/>
      <c r="M162" s="3"/>
      <c r="N162" s="3"/>
      <c r="O162" s="44"/>
      <c r="P162" s="10"/>
    </row>
    <row r="163" spans="1:16" ht="17" thickBot="1" x14ac:dyDescent="0.25">
      <c r="A163" s="9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10"/>
    </row>
    <row r="164" spans="1:16" ht="24" x14ac:dyDescent="0.3">
      <c r="A164" s="9"/>
      <c r="B164" s="24" t="s">
        <v>0</v>
      </c>
      <c r="C164" s="25" t="s">
        <v>29</v>
      </c>
      <c r="D164" s="336" t="s">
        <v>30</v>
      </c>
      <c r="E164" s="337"/>
      <c r="F164" s="25" t="s">
        <v>31</v>
      </c>
      <c r="G164" s="25" t="s">
        <v>32</v>
      </c>
      <c r="H164" s="25" t="s">
        <v>33</v>
      </c>
      <c r="I164" s="25" t="s">
        <v>34</v>
      </c>
      <c r="J164" s="25" t="s">
        <v>35</v>
      </c>
      <c r="K164" s="25" t="s">
        <v>36</v>
      </c>
      <c r="L164" s="338" t="s">
        <v>37</v>
      </c>
      <c r="M164" s="338"/>
      <c r="N164" s="338"/>
      <c r="O164" s="339"/>
      <c r="P164" s="10"/>
    </row>
    <row r="165" spans="1:16" ht="24" x14ac:dyDescent="0.3">
      <c r="A165" s="9"/>
      <c r="B165" s="26">
        <v>1</v>
      </c>
      <c r="C165" s="27" t="s">
        <v>312</v>
      </c>
      <c r="D165" s="328" t="s">
        <v>320</v>
      </c>
      <c r="E165" s="329"/>
      <c r="F165" s="214"/>
      <c r="G165" s="214"/>
      <c r="H165" s="214" t="s">
        <v>191</v>
      </c>
      <c r="I165" s="238" t="s">
        <v>190</v>
      </c>
      <c r="J165" s="214">
        <v>255</v>
      </c>
      <c r="K165" s="214"/>
      <c r="L165" s="330"/>
      <c r="M165" s="330"/>
      <c r="N165" s="330"/>
      <c r="O165" s="331"/>
      <c r="P165" s="10"/>
    </row>
    <row r="166" spans="1:16" ht="24" x14ac:dyDescent="0.3">
      <c r="A166" s="9"/>
      <c r="B166" s="26">
        <v>2</v>
      </c>
      <c r="C166" s="27" t="s">
        <v>313</v>
      </c>
      <c r="D166" s="328" t="s">
        <v>321</v>
      </c>
      <c r="E166" s="329"/>
      <c r="F166" s="214"/>
      <c r="G166" s="214"/>
      <c r="H166" s="214"/>
      <c r="I166" s="238" t="s">
        <v>190</v>
      </c>
      <c r="J166" s="214">
        <v>255</v>
      </c>
      <c r="K166" s="214"/>
      <c r="L166" s="330"/>
      <c r="M166" s="330"/>
      <c r="N166" s="330"/>
      <c r="O166" s="331"/>
      <c r="P166" s="10"/>
    </row>
    <row r="167" spans="1:16" ht="24" x14ac:dyDescent="0.3">
      <c r="A167" s="9"/>
      <c r="B167" s="26">
        <v>3</v>
      </c>
      <c r="C167" s="27" t="s">
        <v>322</v>
      </c>
      <c r="D167" s="249" t="s">
        <v>269</v>
      </c>
      <c r="E167" s="250"/>
      <c r="F167" s="214"/>
      <c r="G167" s="214"/>
      <c r="H167" s="214"/>
      <c r="I167" s="238" t="s">
        <v>203</v>
      </c>
      <c r="J167" s="214"/>
      <c r="K167" s="254" t="s">
        <v>191</v>
      </c>
      <c r="L167" s="330" t="s">
        <v>323</v>
      </c>
      <c r="M167" s="330"/>
      <c r="N167" s="330"/>
      <c r="O167" s="331"/>
      <c r="P167" s="10"/>
    </row>
    <row r="168" spans="1:16" ht="25" thickBot="1" x14ac:dyDescent="0.35">
      <c r="A168" s="9"/>
      <c r="B168" s="29"/>
      <c r="C168" s="30"/>
      <c r="D168" s="332"/>
      <c r="E168" s="333"/>
      <c r="F168" s="215"/>
      <c r="G168" s="215"/>
      <c r="H168" s="215"/>
      <c r="I168" s="31"/>
      <c r="J168" s="215"/>
      <c r="K168" s="215"/>
      <c r="L168" s="334"/>
      <c r="M168" s="334"/>
      <c r="N168" s="334"/>
      <c r="O168" s="335"/>
      <c r="P168" s="10"/>
    </row>
    <row r="169" spans="1:16" x14ac:dyDescent="0.2">
      <c r="A169" s="9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0"/>
    </row>
    <row r="170" spans="1:16" ht="17" thickBot="1" x14ac:dyDescent="0.25">
      <c r="A170" s="9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0"/>
    </row>
    <row r="171" spans="1:16" ht="25" thickBot="1" x14ac:dyDescent="0.35">
      <c r="A171" s="9"/>
      <c r="B171" s="32" t="s">
        <v>39</v>
      </c>
      <c r="C171" s="3"/>
      <c r="D171" s="231" t="s">
        <v>334</v>
      </c>
      <c r="E171" s="33"/>
      <c r="F171" s="33"/>
      <c r="G171" s="33"/>
      <c r="H171" s="34"/>
      <c r="I171" s="3"/>
      <c r="J171" s="3"/>
      <c r="K171" s="3"/>
      <c r="L171" s="3"/>
      <c r="M171" s="3"/>
      <c r="N171" s="3"/>
      <c r="O171" s="44"/>
      <c r="P171" s="10"/>
    </row>
    <row r="172" spans="1:16" ht="17" thickBot="1" x14ac:dyDescent="0.25">
      <c r="A172" s="9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10"/>
    </row>
    <row r="173" spans="1:16" ht="24" x14ac:dyDescent="0.3">
      <c r="A173" s="9"/>
      <c r="B173" s="24" t="s">
        <v>0</v>
      </c>
      <c r="C173" s="25" t="s">
        <v>29</v>
      </c>
      <c r="D173" s="336" t="s">
        <v>30</v>
      </c>
      <c r="E173" s="337"/>
      <c r="F173" s="25" t="s">
        <v>31</v>
      </c>
      <c r="G173" s="25" t="s">
        <v>32</v>
      </c>
      <c r="H173" s="25" t="s">
        <v>33</v>
      </c>
      <c r="I173" s="25" t="s">
        <v>34</v>
      </c>
      <c r="J173" s="25" t="s">
        <v>35</v>
      </c>
      <c r="K173" s="25" t="s">
        <v>36</v>
      </c>
      <c r="L173" s="338" t="s">
        <v>37</v>
      </c>
      <c r="M173" s="338"/>
      <c r="N173" s="338"/>
      <c r="O173" s="339"/>
      <c r="P173" s="10"/>
    </row>
    <row r="174" spans="1:16" ht="24" x14ac:dyDescent="0.3">
      <c r="A174" s="9"/>
      <c r="B174" s="26">
        <v>1</v>
      </c>
      <c r="C174" s="27" t="s">
        <v>312</v>
      </c>
      <c r="D174" s="328" t="s">
        <v>320</v>
      </c>
      <c r="E174" s="329"/>
      <c r="F174" s="214"/>
      <c r="G174" s="214"/>
      <c r="H174" s="214" t="s">
        <v>191</v>
      </c>
      <c r="I174" s="238" t="s">
        <v>190</v>
      </c>
      <c r="J174" s="214">
        <v>255</v>
      </c>
      <c r="K174" s="214"/>
      <c r="L174" s="330"/>
      <c r="M174" s="330"/>
      <c r="N174" s="330"/>
      <c r="O174" s="331"/>
      <c r="P174" s="10"/>
    </row>
    <row r="175" spans="1:16" ht="24" x14ac:dyDescent="0.3">
      <c r="A175" s="9"/>
      <c r="B175" s="26">
        <v>2</v>
      </c>
      <c r="C175" s="27" t="s">
        <v>313</v>
      </c>
      <c r="D175" s="328" t="s">
        <v>321</v>
      </c>
      <c r="E175" s="329"/>
      <c r="F175" s="214"/>
      <c r="G175" s="214"/>
      <c r="H175" s="214"/>
      <c r="I175" s="238" t="s">
        <v>190</v>
      </c>
      <c r="J175" s="214">
        <v>255</v>
      </c>
      <c r="K175" s="214"/>
      <c r="L175" s="330"/>
      <c r="M175" s="330"/>
      <c r="N175" s="330"/>
      <c r="O175" s="331"/>
      <c r="P175" s="10"/>
    </row>
    <row r="176" spans="1:16" ht="24" x14ac:dyDescent="0.3">
      <c r="A176" s="9"/>
      <c r="B176" s="26">
        <v>3</v>
      </c>
      <c r="C176" s="27" t="s">
        <v>266</v>
      </c>
      <c r="D176" s="249" t="s">
        <v>267</v>
      </c>
      <c r="E176" s="250"/>
      <c r="F176" s="214"/>
      <c r="G176" s="214"/>
      <c r="H176" s="214"/>
      <c r="I176" s="238" t="s">
        <v>203</v>
      </c>
      <c r="J176" s="214"/>
      <c r="K176" s="254" t="s">
        <v>191</v>
      </c>
      <c r="L176" s="330" t="s">
        <v>268</v>
      </c>
      <c r="M176" s="330"/>
      <c r="N176" s="330"/>
      <c r="O176" s="331"/>
      <c r="P176" s="10"/>
    </row>
    <row r="177" spans="1:16" ht="25" thickBot="1" x14ac:dyDescent="0.35">
      <c r="A177" s="9"/>
      <c r="B177" s="29"/>
      <c r="C177" s="30"/>
      <c r="D177" s="332"/>
      <c r="E177" s="333"/>
      <c r="F177" s="215"/>
      <c r="G177" s="215"/>
      <c r="H177" s="215"/>
      <c r="I177" s="31"/>
      <c r="J177" s="215"/>
      <c r="K177" s="215"/>
      <c r="L177" s="334"/>
      <c r="M177" s="334"/>
      <c r="N177" s="334"/>
      <c r="O177" s="335"/>
      <c r="P177" s="10"/>
    </row>
    <row r="178" spans="1:16" ht="17" thickBot="1" x14ac:dyDescent="0.25">
      <c r="A178" s="11"/>
      <c r="B178" s="12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3"/>
    </row>
    <row r="179" spans="1:16" ht="17" thickBot="1" x14ac:dyDescent="0.25">
      <c r="A179" s="6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8"/>
    </row>
    <row r="180" spans="1:16" ht="25" thickBot="1" x14ac:dyDescent="0.35">
      <c r="A180" s="9"/>
      <c r="B180" s="32" t="s">
        <v>39</v>
      </c>
      <c r="C180" s="3"/>
      <c r="D180" s="231" t="s">
        <v>327</v>
      </c>
      <c r="E180" s="33"/>
      <c r="F180" s="33"/>
      <c r="G180" s="33"/>
      <c r="H180" s="34"/>
      <c r="I180" s="3"/>
      <c r="J180" s="3"/>
      <c r="K180" s="3"/>
      <c r="L180" s="3"/>
      <c r="M180" s="3"/>
      <c r="N180" s="3"/>
      <c r="O180" s="44"/>
      <c r="P180" s="10"/>
    </row>
    <row r="181" spans="1:16" ht="17" thickBot="1" x14ac:dyDescent="0.25">
      <c r="A181" s="9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10"/>
    </row>
    <row r="182" spans="1:16" ht="24" x14ac:dyDescent="0.3">
      <c r="A182" s="9"/>
      <c r="B182" s="24" t="s">
        <v>0</v>
      </c>
      <c r="C182" s="25" t="s">
        <v>29</v>
      </c>
      <c r="D182" s="336" t="s">
        <v>30</v>
      </c>
      <c r="E182" s="337"/>
      <c r="F182" s="25" t="s">
        <v>31</v>
      </c>
      <c r="G182" s="25" t="s">
        <v>32</v>
      </c>
      <c r="H182" s="25" t="s">
        <v>33</v>
      </c>
      <c r="I182" s="25" t="s">
        <v>34</v>
      </c>
      <c r="J182" s="25" t="s">
        <v>35</v>
      </c>
      <c r="K182" s="25" t="s">
        <v>36</v>
      </c>
      <c r="L182" s="338" t="s">
        <v>37</v>
      </c>
      <c r="M182" s="338"/>
      <c r="N182" s="338"/>
      <c r="O182" s="339"/>
      <c r="P182" s="10"/>
    </row>
    <row r="183" spans="1:16" ht="24" x14ac:dyDescent="0.3">
      <c r="A183" s="9"/>
      <c r="B183" s="26">
        <v>1</v>
      </c>
      <c r="C183" s="27" t="s">
        <v>331</v>
      </c>
      <c r="D183" s="328" t="s">
        <v>328</v>
      </c>
      <c r="E183" s="329"/>
      <c r="F183" s="214"/>
      <c r="G183" s="214"/>
      <c r="H183" s="214" t="s">
        <v>191</v>
      </c>
      <c r="I183" s="238" t="s">
        <v>190</v>
      </c>
      <c r="J183" s="214">
        <v>255</v>
      </c>
      <c r="K183" s="214"/>
      <c r="L183" s="330"/>
      <c r="M183" s="330"/>
      <c r="N183" s="330"/>
      <c r="O183" s="331"/>
      <c r="P183" s="10"/>
    </row>
    <row r="184" spans="1:16" ht="24" x14ac:dyDescent="0.3">
      <c r="A184" s="9"/>
      <c r="B184" s="26">
        <v>2</v>
      </c>
      <c r="C184" s="27" t="s">
        <v>247</v>
      </c>
      <c r="D184" s="328" t="s">
        <v>411</v>
      </c>
      <c r="E184" s="329"/>
      <c r="F184" s="214"/>
      <c r="G184" s="214"/>
      <c r="H184" s="214"/>
      <c r="I184" s="238" t="s">
        <v>190</v>
      </c>
      <c r="J184" s="214">
        <v>255</v>
      </c>
      <c r="K184" s="214"/>
      <c r="L184" s="330"/>
      <c r="M184" s="330"/>
      <c r="N184" s="330"/>
      <c r="O184" s="331"/>
      <c r="P184" s="10"/>
    </row>
    <row r="185" spans="1:16" ht="25" thickBot="1" x14ac:dyDescent="0.35">
      <c r="A185" s="9"/>
      <c r="B185" s="29"/>
      <c r="C185" s="30"/>
      <c r="D185" s="332"/>
      <c r="E185" s="333"/>
      <c r="F185" s="215"/>
      <c r="G185" s="215"/>
      <c r="H185" s="215"/>
      <c r="I185" s="31"/>
      <c r="J185" s="215"/>
      <c r="K185" s="215"/>
      <c r="L185" s="334"/>
      <c r="M185" s="334"/>
      <c r="N185" s="334"/>
      <c r="O185" s="335"/>
      <c r="P185" s="10"/>
    </row>
    <row r="186" spans="1:16" x14ac:dyDescent="0.2">
      <c r="A186" s="9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10"/>
    </row>
    <row r="187" spans="1:16" x14ac:dyDescent="0.2">
      <c r="A187" s="9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10"/>
    </row>
    <row r="188" spans="1:16" ht="17" thickBot="1" x14ac:dyDescent="0.25">
      <c r="A188" s="9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10"/>
    </row>
    <row r="189" spans="1:16" ht="25" thickBot="1" x14ac:dyDescent="0.35">
      <c r="A189" s="9"/>
      <c r="B189" s="32" t="s">
        <v>39</v>
      </c>
      <c r="C189" s="3"/>
      <c r="D189" s="231" t="s">
        <v>337</v>
      </c>
      <c r="E189" s="33"/>
      <c r="F189" s="33"/>
      <c r="G189" s="33"/>
      <c r="H189" s="34"/>
      <c r="I189" s="3"/>
      <c r="J189" s="3"/>
      <c r="K189" s="3"/>
      <c r="L189" s="3"/>
      <c r="M189" s="3"/>
      <c r="N189" s="3"/>
      <c r="O189" s="44"/>
      <c r="P189" s="10"/>
    </row>
    <row r="190" spans="1:16" ht="17" thickBot="1" x14ac:dyDescent="0.25">
      <c r="A190" s="9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10"/>
    </row>
    <row r="191" spans="1:16" ht="24" x14ac:dyDescent="0.3">
      <c r="A191" s="9"/>
      <c r="B191" s="24" t="s">
        <v>0</v>
      </c>
      <c r="C191" s="25" t="s">
        <v>29</v>
      </c>
      <c r="D191" s="336" t="s">
        <v>30</v>
      </c>
      <c r="E191" s="337"/>
      <c r="F191" s="25" t="s">
        <v>31</v>
      </c>
      <c r="G191" s="25" t="s">
        <v>32</v>
      </c>
      <c r="H191" s="25" t="s">
        <v>33</v>
      </c>
      <c r="I191" s="25" t="s">
        <v>34</v>
      </c>
      <c r="J191" s="25" t="s">
        <v>35</v>
      </c>
      <c r="K191" s="25" t="s">
        <v>36</v>
      </c>
      <c r="L191" s="338" t="s">
        <v>37</v>
      </c>
      <c r="M191" s="338"/>
      <c r="N191" s="338"/>
      <c r="O191" s="339"/>
      <c r="P191" s="10"/>
    </row>
    <row r="192" spans="1:16" ht="24" x14ac:dyDescent="0.3">
      <c r="A192" s="9"/>
      <c r="B192" s="26">
        <v>1</v>
      </c>
      <c r="C192" s="27" t="s">
        <v>338</v>
      </c>
      <c r="D192" s="328" t="s">
        <v>340</v>
      </c>
      <c r="E192" s="329"/>
      <c r="F192" s="214"/>
      <c r="G192" s="214"/>
      <c r="H192" s="214" t="s">
        <v>191</v>
      </c>
      <c r="I192" s="238" t="s">
        <v>190</v>
      </c>
      <c r="J192" s="214">
        <v>255</v>
      </c>
      <c r="K192" s="214"/>
      <c r="L192" s="330"/>
      <c r="M192" s="330"/>
      <c r="N192" s="330"/>
      <c r="O192" s="331"/>
      <c r="P192" s="10"/>
    </row>
    <row r="193" spans="1:16" ht="24" x14ac:dyDescent="0.3">
      <c r="A193" s="9"/>
      <c r="B193" s="26">
        <v>2</v>
      </c>
      <c r="C193" s="27" t="s">
        <v>339</v>
      </c>
      <c r="D193" s="328" t="s">
        <v>341</v>
      </c>
      <c r="E193" s="329"/>
      <c r="F193" s="214"/>
      <c r="G193" s="214"/>
      <c r="H193" s="214" t="s">
        <v>191</v>
      </c>
      <c r="I193" s="238" t="s">
        <v>188</v>
      </c>
      <c r="J193" s="214"/>
      <c r="K193" s="214"/>
      <c r="L193" s="330" t="s">
        <v>342</v>
      </c>
      <c r="M193" s="330"/>
      <c r="N193" s="330"/>
      <c r="O193" s="331"/>
      <c r="P193" s="10"/>
    </row>
    <row r="194" spans="1:16" ht="25" thickBot="1" x14ac:dyDescent="0.35">
      <c r="A194" s="9"/>
      <c r="B194" s="29">
        <v>3</v>
      </c>
      <c r="C194" s="30" t="s">
        <v>247</v>
      </c>
      <c r="D194" s="346" t="s">
        <v>247</v>
      </c>
      <c r="E194" s="347"/>
      <c r="F194" s="215"/>
      <c r="G194" s="215"/>
      <c r="H194" s="215"/>
      <c r="I194" s="31" t="s">
        <v>190</v>
      </c>
      <c r="J194" s="215">
        <v>255</v>
      </c>
      <c r="K194" s="215"/>
      <c r="L194" s="334"/>
      <c r="M194" s="334"/>
      <c r="N194" s="334"/>
      <c r="O194" s="335"/>
      <c r="P194" s="10"/>
    </row>
    <row r="195" spans="1:16" x14ac:dyDescent="0.2">
      <c r="A195" s="9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10"/>
    </row>
    <row r="196" spans="1:16" ht="17" thickBot="1" x14ac:dyDescent="0.25">
      <c r="A196" s="9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10"/>
    </row>
    <row r="197" spans="1:16" ht="25" thickBot="1" x14ac:dyDescent="0.35">
      <c r="A197" s="9"/>
      <c r="B197" s="32" t="s">
        <v>39</v>
      </c>
      <c r="C197" s="3"/>
      <c r="D197" s="231" t="s">
        <v>343</v>
      </c>
      <c r="E197" s="33"/>
      <c r="F197" s="33"/>
      <c r="G197" s="33"/>
      <c r="H197" s="34"/>
      <c r="I197" s="3"/>
      <c r="J197" s="3"/>
      <c r="K197" s="3"/>
      <c r="L197" s="3"/>
      <c r="M197" s="3"/>
      <c r="N197" s="3"/>
      <c r="O197" s="44"/>
      <c r="P197" s="10"/>
    </row>
    <row r="198" spans="1:16" ht="17" thickBot="1" x14ac:dyDescent="0.25">
      <c r="A198" s="9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10"/>
    </row>
    <row r="199" spans="1:16" ht="24" x14ac:dyDescent="0.3">
      <c r="A199" s="9"/>
      <c r="B199" s="24" t="s">
        <v>0</v>
      </c>
      <c r="C199" s="25" t="s">
        <v>29</v>
      </c>
      <c r="D199" s="336" t="s">
        <v>30</v>
      </c>
      <c r="E199" s="337"/>
      <c r="F199" s="25" t="s">
        <v>31</v>
      </c>
      <c r="G199" s="25" t="s">
        <v>32</v>
      </c>
      <c r="H199" s="25" t="s">
        <v>33</v>
      </c>
      <c r="I199" s="25" t="s">
        <v>34</v>
      </c>
      <c r="J199" s="25" t="s">
        <v>35</v>
      </c>
      <c r="K199" s="25" t="s">
        <v>36</v>
      </c>
      <c r="L199" s="338" t="s">
        <v>37</v>
      </c>
      <c r="M199" s="338"/>
      <c r="N199" s="338"/>
      <c r="O199" s="339"/>
      <c r="P199" s="10"/>
    </row>
    <row r="200" spans="1:16" ht="24" x14ac:dyDescent="0.3">
      <c r="A200" s="9"/>
      <c r="B200" s="26">
        <v>1</v>
      </c>
      <c r="C200" s="27" t="s">
        <v>344</v>
      </c>
      <c r="D200" s="328" t="s">
        <v>412</v>
      </c>
      <c r="E200" s="329"/>
      <c r="F200" s="214"/>
      <c r="G200" s="214"/>
      <c r="H200" s="214" t="s">
        <v>191</v>
      </c>
      <c r="I200" s="238" t="s">
        <v>190</v>
      </c>
      <c r="J200" s="214">
        <v>255</v>
      </c>
      <c r="K200" s="214"/>
      <c r="L200" s="330" t="s">
        <v>364</v>
      </c>
      <c r="M200" s="330"/>
      <c r="N200" s="330"/>
      <c r="O200" s="331"/>
      <c r="P200" s="10"/>
    </row>
    <row r="201" spans="1:16" ht="24" x14ac:dyDescent="0.3">
      <c r="A201" s="9"/>
      <c r="B201" s="26">
        <v>2</v>
      </c>
      <c r="C201" s="27" t="s">
        <v>345</v>
      </c>
      <c r="D201" s="328" t="s">
        <v>341</v>
      </c>
      <c r="E201" s="329"/>
      <c r="F201" s="214"/>
      <c r="G201" s="214"/>
      <c r="H201" s="214" t="s">
        <v>191</v>
      </c>
      <c r="I201" s="238" t="s">
        <v>188</v>
      </c>
      <c r="J201" s="214"/>
      <c r="K201" s="214"/>
      <c r="L201" s="330"/>
      <c r="M201" s="330"/>
      <c r="N201" s="330"/>
      <c r="O201" s="331"/>
      <c r="P201" s="10"/>
    </row>
    <row r="202" spans="1:16" ht="24" x14ac:dyDescent="0.3">
      <c r="A202" s="9"/>
      <c r="B202" s="235">
        <v>3</v>
      </c>
      <c r="C202" s="236" t="s">
        <v>247</v>
      </c>
      <c r="D202" s="239" t="s">
        <v>247</v>
      </c>
      <c r="E202" s="240"/>
      <c r="F202" s="237"/>
      <c r="G202" s="237"/>
      <c r="H202" s="237"/>
      <c r="I202" s="238" t="s">
        <v>190</v>
      </c>
      <c r="J202" s="237">
        <v>255</v>
      </c>
      <c r="K202" s="237"/>
      <c r="L202" s="330"/>
      <c r="M202" s="330"/>
      <c r="N202" s="330"/>
      <c r="O202" s="331"/>
      <c r="P202" s="10"/>
    </row>
    <row r="203" spans="1:16" ht="25" thickBot="1" x14ac:dyDescent="0.35">
      <c r="A203" s="9"/>
      <c r="B203" s="29"/>
      <c r="C203" s="30"/>
      <c r="D203" s="332"/>
      <c r="E203" s="333"/>
      <c r="F203" s="215"/>
      <c r="G203" s="215"/>
      <c r="H203" s="215"/>
      <c r="I203" s="31"/>
      <c r="J203" s="215"/>
      <c r="K203" s="215"/>
      <c r="L203" s="334"/>
      <c r="M203" s="334"/>
      <c r="N203" s="334"/>
      <c r="O203" s="335"/>
      <c r="P203" s="10"/>
    </row>
    <row r="204" spans="1:16" x14ac:dyDescent="0.2">
      <c r="A204" s="9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10"/>
    </row>
    <row r="205" spans="1:16" ht="17" thickBot="1" x14ac:dyDescent="0.25">
      <c r="A205" s="9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10"/>
    </row>
    <row r="206" spans="1:16" ht="25" thickBot="1" x14ac:dyDescent="0.35">
      <c r="A206" s="9"/>
      <c r="B206" s="32" t="s">
        <v>39</v>
      </c>
      <c r="C206" s="3"/>
      <c r="D206" s="231" t="s">
        <v>430</v>
      </c>
      <c r="E206" s="33"/>
      <c r="F206" s="33"/>
      <c r="G206" s="33"/>
      <c r="H206" s="34"/>
      <c r="I206" s="3"/>
      <c r="J206" s="3"/>
      <c r="K206" s="3"/>
      <c r="L206" s="3"/>
      <c r="M206" s="3"/>
      <c r="N206" s="3"/>
      <c r="O206" s="44"/>
      <c r="P206" s="10"/>
    </row>
    <row r="207" spans="1:16" ht="17" thickBot="1" x14ac:dyDescent="0.25">
      <c r="A207" s="9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10"/>
    </row>
    <row r="208" spans="1:16" ht="24" x14ac:dyDescent="0.3">
      <c r="A208" s="9"/>
      <c r="B208" s="24" t="s">
        <v>0</v>
      </c>
      <c r="C208" s="25" t="s">
        <v>29</v>
      </c>
      <c r="D208" s="336" t="s">
        <v>30</v>
      </c>
      <c r="E208" s="337"/>
      <c r="F208" s="25" t="s">
        <v>31</v>
      </c>
      <c r="G208" s="25" t="s">
        <v>32</v>
      </c>
      <c r="H208" s="25" t="s">
        <v>33</v>
      </c>
      <c r="I208" s="25" t="s">
        <v>34</v>
      </c>
      <c r="J208" s="25" t="s">
        <v>35</v>
      </c>
      <c r="K208" s="25" t="s">
        <v>36</v>
      </c>
      <c r="L208" s="338" t="s">
        <v>37</v>
      </c>
      <c r="M208" s="338"/>
      <c r="N208" s="338"/>
      <c r="O208" s="339"/>
      <c r="P208" s="10"/>
    </row>
    <row r="209" spans="1:16" ht="24" x14ac:dyDescent="0.3">
      <c r="A209" s="9"/>
      <c r="B209" s="26">
        <v>1</v>
      </c>
      <c r="C209" s="27" t="s">
        <v>348</v>
      </c>
      <c r="D209" s="328" t="s">
        <v>414</v>
      </c>
      <c r="E209" s="329"/>
      <c r="F209" s="214"/>
      <c r="G209" s="214"/>
      <c r="H209" s="214" t="s">
        <v>191</v>
      </c>
      <c r="I209" s="238" t="s">
        <v>190</v>
      </c>
      <c r="J209" s="214">
        <v>255</v>
      </c>
      <c r="K209" s="214"/>
      <c r="L209" s="330" t="s">
        <v>349</v>
      </c>
      <c r="M209" s="330"/>
      <c r="N209" s="330"/>
      <c r="O209" s="331"/>
      <c r="P209" s="10"/>
    </row>
    <row r="210" spans="1:16" ht="24" x14ac:dyDescent="0.3">
      <c r="A210" s="9"/>
      <c r="B210" s="235">
        <v>2</v>
      </c>
      <c r="C210" s="236" t="s">
        <v>247</v>
      </c>
      <c r="D210" s="239" t="s">
        <v>247</v>
      </c>
      <c r="E210" s="240"/>
      <c r="F210" s="237"/>
      <c r="G210" s="237"/>
      <c r="H210" s="237"/>
      <c r="I210" s="238" t="s">
        <v>190</v>
      </c>
      <c r="J210" s="237">
        <v>255</v>
      </c>
      <c r="K210" s="237"/>
      <c r="L210" s="330"/>
      <c r="M210" s="330"/>
      <c r="N210" s="330"/>
      <c r="O210" s="331"/>
      <c r="P210" s="10"/>
    </row>
    <row r="211" spans="1:16" ht="25" thickBot="1" x14ac:dyDescent="0.35">
      <c r="A211" s="9"/>
      <c r="B211" s="29"/>
      <c r="C211" s="30"/>
      <c r="D211" s="332"/>
      <c r="E211" s="333"/>
      <c r="F211" s="215"/>
      <c r="G211" s="215"/>
      <c r="H211" s="215"/>
      <c r="I211" s="31"/>
      <c r="J211" s="215"/>
      <c r="K211" s="215"/>
      <c r="L211" s="334"/>
      <c r="M211" s="334"/>
      <c r="N211" s="334"/>
      <c r="O211" s="335"/>
      <c r="P211" s="10"/>
    </row>
    <row r="212" spans="1:16" x14ac:dyDescent="0.2">
      <c r="A212" s="9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10"/>
    </row>
    <row r="213" spans="1:16" ht="17" thickBot="1" x14ac:dyDescent="0.25">
      <c r="A213" s="9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10"/>
    </row>
    <row r="214" spans="1:16" ht="25" thickBot="1" x14ac:dyDescent="0.35">
      <c r="A214" s="9"/>
      <c r="B214" s="32" t="s">
        <v>39</v>
      </c>
      <c r="C214" s="3"/>
      <c r="D214" s="231" t="s">
        <v>351</v>
      </c>
      <c r="E214" s="33"/>
      <c r="F214" s="33"/>
      <c r="G214" s="33"/>
      <c r="H214" s="34"/>
      <c r="I214" s="3"/>
      <c r="J214" s="3"/>
      <c r="K214" s="3"/>
      <c r="L214" s="3"/>
      <c r="M214" s="3"/>
      <c r="N214" s="3"/>
      <c r="O214" s="44"/>
      <c r="P214" s="10"/>
    </row>
    <row r="215" spans="1:16" ht="17" thickBot="1" x14ac:dyDescent="0.25">
      <c r="A215" s="9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10"/>
    </row>
    <row r="216" spans="1:16" ht="24" x14ac:dyDescent="0.3">
      <c r="A216" s="9"/>
      <c r="B216" s="24" t="s">
        <v>0</v>
      </c>
      <c r="C216" s="25" t="s">
        <v>29</v>
      </c>
      <c r="D216" s="336" t="s">
        <v>30</v>
      </c>
      <c r="E216" s="337"/>
      <c r="F216" s="25" t="s">
        <v>31</v>
      </c>
      <c r="G216" s="25" t="s">
        <v>32</v>
      </c>
      <c r="H216" s="25" t="s">
        <v>33</v>
      </c>
      <c r="I216" s="25" t="s">
        <v>34</v>
      </c>
      <c r="J216" s="25" t="s">
        <v>35</v>
      </c>
      <c r="K216" s="25" t="s">
        <v>36</v>
      </c>
      <c r="L216" s="338" t="s">
        <v>37</v>
      </c>
      <c r="M216" s="338"/>
      <c r="N216" s="338"/>
      <c r="O216" s="339"/>
      <c r="P216" s="10"/>
    </row>
    <row r="217" spans="1:16" ht="24" x14ac:dyDescent="0.3">
      <c r="A217" s="9"/>
      <c r="B217" s="26">
        <v>1</v>
      </c>
      <c r="C217" s="27" t="s">
        <v>289</v>
      </c>
      <c r="D217" s="328" t="s">
        <v>352</v>
      </c>
      <c r="E217" s="329"/>
      <c r="F217" s="214"/>
      <c r="G217" s="214"/>
      <c r="H217" s="214" t="s">
        <v>191</v>
      </c>
      <c r="I217" s="238" t="s">
        <v>190</v>
      </c>
      <c r="J217" s="214">
        <v>255</v>
      </c>
      <c r="K217" s="214"/>
      <c r="L217" s="330" t="s">
        <v>353</v>
      </c>
      <c r="M217" s="330"/>
      <c r="N217" s="330"/>
      <c r="O217" s="331"/>
      <c r="P217" s="10"/>
    </row>
    <row r="218" spans="1:16" ht="24" x14ac:dyDescent="0.3">
      <c r="A218" s="9"/>
      <c r="B218" s="235">
        <v>2</v>
      </c>
      <c r="C218" s="236" t="s">
        <v>247</v>
      </c>
      <c r="D218" s="239" t="s">
        <v>247</v>
      </c>
      <c r="E218" s="240"/>
      <c r="F218" s="237"/>
      <c r="G218" s="237"/>
      <c r="H218" s="237"/>
      <c r="I218" s="238" t="s">
        <v>190</v>
      </c>
      <c r="J218" s="237">
        <v>255</v>
      </c>
      <c r="K218" s="237"/>
      <c r="L218" s="330"/>
      <c r="M218" s="330"/>
      <c r="N218" s="330"/>
      <c r="O218" s="331"/>
      <c r="P218" s="10"/>
    </row>
    <row r="219" spans="1:16" ht="25" thickBot="1" x14ac:dyDescent="0.35">
      <c r="A219" s="9"/>
      <c r="B219" s="29"/>
      <c r="C219" s="30"/>
      <c r="D219" s="332"/>
      <c r="E219" s="333"/>
      <c r="F219" s="215"/>
      <c r="G219" s="215"/>
      <c r="H219" s="215"/>
      <c r="I219" s="31"/>
      <c r="J219" s="215"/>
      <c r="K219" s="215"/>
      <c r="L219" s="334"/>
      <c r="M219" s="334"/>
      <c r="N219" s="334"/>
      <c r="O219" s="335"/>
      <c r="P219" s="10"/>
    </row>
    <row r="220" spans="1:16" ht="24" x14ac:dyDescent="0.3">
      <c r="A220" s="9"/>
      <c r="B220" s="243"/>
      <c r="C220" s="243"/>
      <c r="D220" s="247"/>
      <c r="E220" s="247"/>
      <c r="F220" s="244"/>
      <c r="G220" s="244"/>
      <c r="H220" s="244"/>
      <c r="I220" s="245"/>
      <c r="J220" s="244"/>
      <c r="K220" s="244"/>
      <c r="L220" s="246"/>
      <c r="M220" s="246"/>
      <c r="N220" s="246"/>
      <c r="O220" s="246"/>
      <c r="P220" s="10"/>
    </row>
    <row r="221" spans="1:16" ht="17" thickBot="1" x14ac:dyDescent="0.25">
      <c r="A221" s="9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10"/>
    </row>
    <row r="222" spans="1:16" ht="25" thickBot="1" x14ac:dyDescent="0.35">
      <c r="A222" s="9"/>
      <c r="B222" s="32" t="s">
        <v>39</v>
      </c>
      <c r="C222" s="3"/>
      <c r="D222" s="231" t="s">
        <v>389</v>
      </c>
      <c r="E222" s="33"/>
      <c r="F222" s="33"/>
      <c r="G222" s="33"/>
      <c r="H222" s="34"/>
      <c r="I222" s="3"/>
      <c r="J222" s="3"/>
      <c r="K222" s="3"/>
      <c r="L222" s="3"/>
      <c r="M222" s="3"/>
      <c r="N222" s="3"/>
      <c r="O222" s="44"/>
      <c r="P222" s="10"/>
    </row>
    <row r="223" spans="1:16" ht="17" thickBot="1" x14ac:dyDescent="0.25">
      <c r="A223" s="9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10"/>
    </row>
    <row r="224" spans="1:16" ht="24" x14ac:dyDescent="0.3">
      <c r="A224" s="9"/>
      <c r="B224" s="24" t="s">
        <v>0</v>
      </c>
      <c r="C224" s="25" t="s">
        <v>29</v>
      </c>
      <c r="D224" s="336" t="s">
        <v>30</v>
      </c>
      <c r="E224" s="337"/>
      <c r="F224" s="25" t="s">
        <v>31</v>
      </c>
      <c r="G224" s="25" t="s">
        <v>32</v>
      </c>
      <c r="H224" s="25" t="s">
        <v>33</v>
      </c>
      <c r="I224" s="25" t="s">
        <v>34</v>
      </c>
      <c r="J224" s="25" t="s">
        <v>35</v>
      </c>
      <c r="K224" s="25" t="s">
        <v>36</v>
      </c>
      <c r="L224" s="338" t="s">
        <v>37</v>
      </c>
      <c r="M224" s="338"/>
      <c r="N224" s="338"/>
      <c r="O224" s="339"/>
      <c r="P224" s="10"/>
    </row>
    <row r="225" spans="1:16" ht="24" x14ac:dyDescent="0.3">
      <c r="A225" s="9"/>
      <c r="B225" s="26">
        <v>1</v>
      </c>
      <c r="C225" s="27" t="s">
        <v>383</v>
      </c>
      <c r="D225" s="328" t="s">
        <v>390</v>
      </c>
      <c r="E225" s="329"/>
      <c r="F225" s="214"/>
      <c r="G225" s="214"/>
      <c r="H225" s="214" t="s">
        <v>191</v>
      </c>
      <c r="I225" s="238" t="s">
        <v>190</v>
      </c>
      <c r="J225" s="214">
        <v>255</v>
      </c>
      <c r="K225" s="214"/>
      <c r="L225" s="330" t="s">
        <v>391</v>
      </c>
      <c r="M225" s="330"/>
      <c r="N225" s="330"/>
      <c r="O225" s="331"/>
      <c r="P225" s="10"/>
    </row>
    <row r="226" spans="1:16" ht="24" x14ac:dyDescent="0.3">
      <c r="A226" s="9"/>
      <c r="B226" s="235">
        <v>2</v>
      </c>
      <c r="C226" s="236" t="s">
        <v>247</v>
      </c>
      <c r="D226" s="239" t="s">
        <v>247</v>
      </c>
      <c r="E226" s="240"/>
      <c r="F226" s="237"/>
      <c r="G226" s="237"/>
      <c r="H226" s="237"/>
      <c r="I226" s="238" t="s">
        <v>190</v>
      </c>
      <c r="J226" s="237">
        <v>255</v>
      </c>
      <c r="K226" s="237"/>
      <c r="L226" s="330"/>
      <c r="M226" s="330"/>
      <c r="N226" s="330"/>
      <c r="O226" s="331"/>
      <c r="P226" s="10"/>
    </row>
    <row r="227" spans="1:16" ht="25" thickBot="1" x14ac:dyDescent="0.35">
      <c r="A227" s="9"/>
      <c r="B227" s="29"/>
      <c r="C227" s="30"/>
      <c r="D227" s="332"/>
      <c r="E227" s="333"/>
      <c r="F227" s="215"/>
      <c r="G227" s="215"/>
      <c r="H227" s="215"/>
      <c r="I227" s="31"/>
      <c r="J227" s="215"/>
      <c r="K227" s="215"/>
      <c r="L227" s="334"/>
      <c r="M227" s="334"/>
      <c r="N227" s="334"/>
      <c r="O227" s="335"/>
      <c r="P227" s="10"/>
    </row>
    <row r="228" spans="1:16" ht="24" x14ac:dyDescent="0.3">
      <c r="A228" s="9"/>
      <c r="B228" s="243"/>
      <c r="C228" s="243"/>
      <c r="D228" s="247"/>
      <c r="E228" s="247"/>
      <c r="F228" s="244"/>
      <c r="G228" s="244"/>
      <c r="H228" s="244"/>
      <c r="I228" s="245"/>
      <c r="J228" s="244"/>
      <c r="K228" s="244"/>
      <c r="L228" s="246"/>
      <c r="M228" s="246"/>
      <c r="N228" s="246"/>
      <c r="O228" s="246"/>
      <c r="P228" s="10"/>
    </row>
    <row r="229" spans="1:16" ht="17" thickBot="1" x14ac:dyDescent="0.25">
      <c r="A229" s="9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0"/>
    </row>
    <row r="230" spans="1:16" ht="25" thickBot="1" x14ac:dyDescent="0.35">
      <c r="A230" s="9"/>
      <c r="B230" s="32" t="s">
        <v>39</v>
      </c>
      <c r="C230" s="3"/>
      <c r="D230" s="231" t="s">
        <v>355</v>
      </c>
      <c r="E230" s="33"/>
      <c r="F230" s="33"/>
      <c r="G230" s="33"/>
      <c r="H230" s="34"/>
      <c r="I230" s="3"/>
      <c r="J230" s="3"/>
      <c r="K230" s="3"/>
      <c r="L230" s="3"/>
      <c r="M230" s="3"/>
      <c r="N230" s="3"/>
      <c r="O230" s="44"/>
      <c r="P230" s="10"/>
    </row>
    <row r="231" spans="1:16" ht="17" thickBot="1" x14ac:dyDescent="0.25">
      <c r="A231" s="9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10"/>
    </row>
    <row r="232" spans="1:16" ht="24" x14ac:dyDescent="0.3">
      <c r="A232" s="9"/>
      <c r="B232" s="24" t="s">
        <v>0</v>
      </c>
      <c r="C232" s="25" t="s">
        <v>29</v>
      </c>
      <c r="D232" s="336" t="s">
        <v>30</v>
      </c>
      <c r="E232" s="337"/>
      <c r="F232" s="25" t="s">
        <v>31</v>
      </c>
      <c r="G232" s="25" t="s">
        <v>32</v>
      </c>
      <c r="H232" s="25" t="s">
        <v>33</v>
      </c>
      <c r="I232" s="25" t="s">
        <v>34</v>
      </c>
      <c r="J232" s="25" t="s">
        <v>35</v>
      </c>
      <c r="K232" s="25" t="s">
        <v>36</v>
      </c>
      <c r="L232" s="338" t="s">
        <v>37</v>
      </c>
      <c r="M232" s="338"/>
      <c r="N232" s="338"/>
      <c r="O232" s="339"/>
      <c r="P232" s="10"/>
    </row>
    <row r="233" spans="1:16" ht="24" x14ac:dyDescent="0.3">
      <c r="A233" s="9"/>
      <c r="B233" s="26">
        <v>1</v>
      </c>
      <c r="C233" s="27" t="s">
        <v>356</v>
      </c>
      <c r="D233" s="328" t="s">
        <v>352</v>
      </c>
      <c r="E233" s="329"/>
      <c r="F233" s="214"/>
      <c r="G233" s="214"/>
      <c r="H233" s="214" t="s">
        <v>191</v>
      </c>
      <c r="I233" s="238" t="s">
        <v>190</v>
      </c>
      <c r="J233" s="214">
        <v>255</v>
      </c>
      <c r="K233" s="214"/>
      <c r="L233" s="330" t="s">
        <v>357</v>
      </c>
      <c r="M233" s="330"/>
      <c r="N233" s="330"/>
      <c r="O233" s="331"/>
      <c r="P233" s="10"/>
    </row>
    <row r="234" spans="1:16" ht="24" x14ac:dyDescent="0.3">
      <c r="A234" s="9"/>
      <c r="B234" s="235">
        <v>2</v>
      </c>
      <c r="C234" s="236" t="s">
        <v>247</v>
      </c>
      <c r="D234" s="239" t="s">
        <v>247</v>
      </c>
      <c r="E234" s="240"/>
      <c r="F234" s="237"/>
      <c r="G234" s="237"/>
      <c r="H234" s="237"/>
      <c r="I234" s="238" t="s">
        <v>190</v>
      </c>
      <c r="J234" s="237">
        <v>255</v>
      </c>
      <c r="K234" s="237"/>
      <c r="L234" s="342"/>
      <c r="M234" s="330"/>
      <c r="N234" s="330"/>
      <c r="O234" s="331"/>
      <c r="P234" s="10"/>
    </row>
    <row r="235" spans="1:16" ht="25" thickBot="1" x14ac:dyDescent="0.35">
      <c r="A235" s="9"/>
      <c r="B235" s="29"/>
      <c r="C235" s="30"/>
      <c r="D235" s="332"/>
      <c r="E235" s="333"/>
      <c r="F235" s="215"/>
      <c r="G235" s="215"/>
      <c r="H235" s="215"/>
      <c r="I235" s="31"/>
      <c r="J235" s="215"/>
      <c r="K235" s="215"/>
      <c r="L235" s="334"/>
      <c r="M235" s="334"/>
      <c r="N235" s="334"/>
      <c r="O235" s="335"/>
      <c r="P235" s="10"/>
    </row>
    <row r="236" spans="1:16" x14ac:dyDescent="0.2">
      <c r="A236" s="9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10"/>
    </row>
    <row r="237" spans="1:16" ht="17" thickBot="1" x14ac:dyDescent="0.25">
      <c r="A237" s="9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10"/>
    </row>
    <row r="238" spans="1:16" ht="25" thickBot="1" x14ac:dyDescent="0.35">
      <c r="A238" s="9"/>
      <c r="B238" s="32" t="s">
        <v>39</v>
      </c>
      <c r="C238" s="3"/>
      <c r="D238" s="231" t="s">
        <v>358</v>
      </c>
      <c r="E238" s="33"/>
      <c r="F238" s="33"/>
      <c r="G238" s="33"/>
      <c r="H238" s="34"/>
      <c r="I238" s="3"/>
      <c r="J238" s="3"/>
      <c r="K238" s="3"/>
      <c r="L238" s="3"/>
      <c r="M238" s="3"/>
      <c r="N238" s="3"/>
      <c r="O238" s="44"/>
      <c r="P238" s="10"/>
    </row>
    <row r="239" spans="1:16" ht="17" thickBot="1" x14ac:dyDescent="0.25">
      <c r="A239" s="9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10"/>
    </row>
    <row r="240" spans="1:16" ht="24" x14ac:dyDescent="0.3">
      <c r="A240" s="9"/>
      <c r="B240" s="24" t="s">
        <v>0</v>
      </c>
      <c r="C240" s="25" t="s">
        <v>29</v>
      </c>
      <c r="D240" s="336" t="s">
        <v>30</v>
      </c>
      <c r="E240" s="337"/>
      <c r="F240" s="25" t="s">
        <v>31</v>
      </c>
      <c r="G240" s="25" t="s">
        <v>32</v>
      </c>
      <c r="H240" s="25" t="s">
        <v>33</v>
      </c>
      <c r="I240" s="25" t="s">
        <v>34</v>
      </c>
      <c r="J240" s="25" t="s">
        <v>35</v>
      </c>
      <c r="K240" s="25" t="s">
        <v>36</v>
      </c>
      <c r="L240" s="338" t="s">
        <v>37</v>
      </c>
      <c r="M240" s="338"/>
      <c r="N240" s="338"/>
      <c r="O240" s="339"/>
      <c r="P240" s="10"/>
    </row>
    <row r="241" spans="1:16" ht="56" customHeight="1" x14ac:dyDescent="0.2">
      <c r="A241" s="9"/>
      <c r="B241" s="234">
        <v>1</v>
      </c>
      <c r="C241" s="233" t="s">
        <v>359</v>
      </c>
      <c r="D241" s="340" t="s">
        <v>227</v>
      </c>
      <c r="E241" s="341"/>
      <c r="F241" s="214"/>
      <c r="G241" s="214"/>
      <c r="H241" s="214" t="s">
        <v>191</v>
      </c>
      <c r="I241" s="238" t="s">
        <v>190</v>
      </c>
      <c r="J241" s="214">
        <v>255</v>
      </c>
      <c r="K241" s="214"/>
      <c r="L241" s="342" t="s">
        <v>417</v>
      </c>
      <c r="M241" s="330"/>
      <c r="N241" s="330"/>
      <c r="O241" s="331"/>
      <c r="P241" s="10"/>
    </row>
    <row r="242" spans="1:16" ht="24" x14ac:dyDescent="0.3">
      <c r="A242" s="9"/>
      <c r="B242" s="235">
        <v>2</v>
      </c>
      <c r="C242" s="236" t="s">
        <v>247</v>
      </c>
      <c r="D242" s="239" t="s">
        <v>247</v>
      </c>
      <c r="E242" s="240"/>
      <c r="F242" s="237"/>
      <c r="G242" s="237"/>
      <c r="H242" s="237"/>
      <c r="I242" s="238" t="s">
        <v>190</v>
      </c>
      <c r="J242" s="237">
        <v>255</v>
      </c>
      <c r="K242" s="237"/>
      <c r="L242" s="342"/>
      <c r="M242" s="330"/>
      <c r="N242" s="330"/>
      <c r="O242" s="331"/>
      <c r="P242" s="10"/>
    </row>
    <row r="243" spans="1:16" ht="25" thickBot="1" x14ac:dyDescent="0.35">
      <c r="A243" s="9"/>
      <c r="B243" s="29"/>
      <c r="C243" s="30"/>
      <c r="D243" s="332"/>
      <c r="E243" s="333"/>
      <c r="F243" s="215"/>
      <c r="G243" s="215"/>
      <c r="H243" s="215"/>
      <c r="I243" s="31"/>
      <c r="J243" s="215"/>
      <c r="K243" s="215"/>
      <c r="L243" s="334"/>
      <c r="M243" s="334"/>
      <c r="N243" s="334"/>
      <c r="O243" s="335"/>
      <c r="P243" s="10"/>
    </row>
    <row r="244" spans="1:16" x14ac:dyDescent="0.2">
      <c r="A244" s="9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10"/>
    </row>
    <row r="245" spans="1:16" ht="17" thickBot="1" x14ac:dyDescent="0.25">
      <c r="A245" s="9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10"/>
    </row>
    <row r="246" spans="1:16" ht="25" thickBot="1" x14ac:dyDescent="0.35">
      <c r="A246" s="9"/>
      <c r="B246" s="32" t="s">
        <v>39</v>
      </c>
      <c r="C246" s="3"/>
      <c r="D246" s="231" t="s">
        <v>361</v>
      </c>
      <c r="E246" s="33"/>
      <c r="F246" s="33"/>
      <c r="G246" s="33"/>
      <c r="H246" s="34"/>
      <c r="I246" s="3"/>
      <c r="J246" s="3"/>
      <c r="K246" s="3"/>
      <c r="L246" s="3"/>
      <c r="M246" s="3"/>
      <c r="N246" s="3"/>
      <c r="O246" s="44"/>
      <c r="P246" s="10"/>
    </row>
    <row r="247" spans="1:16" ht="17" thickBot="1" x14ac:dyDescent="0.25">
      <c r="A247" s="9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10"/>
    </row>
    <row r="248" spans="1:16" ht="24" x14ac:dyDescent="0.3">
      <c r="A248" s="9"/>
      <c r="B248" s="24" t="s">
        <v>0</v>
      </c>
      <c r="C248" s="25" t="s">
        <v>29</v>
      </c>
      <c r="D248" s="336" t="s">
        <v>30</v>
      </c>
      <c r="E248" s="337"/>
      <c r="F248" s="25" t="s">
        <v>31</v>
      </c>
      <c r="G248" s="25" t="s">
        <v>32</v>
      </c>
      <c r="H248" s="25" t="s">
        <v>33</v>
      </c>
      <c r="I248" s="25" t="s">
        <v>34</v>
      </c>
      <c r="J248" s="25" t="s">
        <v>35</v>
      </c>
      <c r="K248" s="25" t="s">
        <v>36</v>
      </c>
      <c r="L248" s="338" t="s">
        <v>37</v>
      </c>
      <c r="M248" s="338"/>
      <c r="N248" s="338"/>
      <c r="O248" s="339"/>
      <c r="P248" s="10"/>
    </row>
    <row r="249" spans="1:16" ht="24" x14ac:dyDescent="0.2">
      <c r="A249" s="9"/>
      <c r="B249" s="234">
        <v>1</v>
      </c>
      <c r="C249" s="233" t="s">
        <v>359</v>
      </c>
      <c r="D249" s="340" t="s">
        <v>362</v>
      </c>
      <c r="E249" s="341"/>
      <c r="F249" s="214"/>
      <c r="G249" s="214"/>
      <c r="H249" s="214" t="s">
        <v>191</v>
      </c>
      <c r="I249" s="238" t="s">
        <v>190</v>
      </c>
      <c r="J249" s="214">
        <v>255</v>
      </c>
      <c r="K249" s="214"/>
      <c r="L249" s="342" t="s">
        <v>363</v>
      </c>
      <c r="M249" s="330"/>
      <c r="N249" s="330"/>
      <c r="O249" s="331"/>
      <c r="P249" s="10"/>
    </row>
    <row r="250" spans="1:16" ht="24" x14ac:dyDescent="0.3">
      <c r="A250" s="9"/>
      <c r="B250" s="235">
        <v>2</v>
      </c>
      <c r="C250" s="236" t="s">
        <v>247</v>
      </c>
      <c r="D250" s="239" t="s">
        <v>247</v>
      </c>
      <c r="E250" s="240"/>
      <c r="F250" s="237"/>
      <c r="G250" s="237"/>
      <c r="H250" s="237"/>
      <c r="I250" s="238" t="s">
        <v>190</v>
      </c>
      <c r="J250" s="237">
        <v>255</v>
      </c>
      <c r="K250" s="237"/>
      <c r="L250" s="342"/>
      <c r="M250" s="330"/>
      <c r="N250" s="330"/>
      <c r="O250" s="331"/>
      <c r="P250" s="10"/>
    </row>
    <row r="251" spans="1:16" ht="25" thickBot="1" x14ac:dyDescent="0.35">
      <c r="A251" s="9"/>
      <c r="B251" s="29"/>
      <c r="C251" s="30"/>
      <c r="D251" s="332"/>
      <c r="E251" s="333"/>
      <c r="F251" s="215"/>
      <c r="G251" s="215"/>
      <c r="H251" s="215"/>
      <c r="I251" s="31"/>
      <c r="J251" s="215"/>
      <c r="K251" s="215"/>
      <c r="L251" s="334"/>
      <c r="M251" s="334"/>
      <c r="N251" s="334"/>
      <c r="O251" s="335"/>
      <c r="P251" s="10"/>
    </row>
    <row r="252" spans="1:16" x14ac:dyDescent="0.2">
      <c r="A252" s="9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10"/>
    </row>
    <row r="253" spans="1:16" ht="17" thickBot="1" x14ac:dyDescent="0.25">
      <c r="A253" s="9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10"/>
    </row>
    <row r="254" spans="1:16" ht="25" thickBot="1" x14ac:dyDescent="0.35">
      <c r="A254" s="9"/>
      <c r="B254" s="32" t="s">
        <v>39</v>
      </c>
      <c r="C254" s="3"/>
      <c r="D254" s="231" t="s">
        <v>373</v>
      </c>
      <c r="E254" s="33"/>
      <c r="F254" s="33"/>
      <c r="G254" s="33"/>
      <c r="H254" s="34"/>
      <c r="I254" s="205" t="s">
        <v>385</v>
      </c>
      <c r="J254" s="3"/>
      <c r="K254" s="3"/>
      <c r="L254" s="3"/>
      <c r="M254" s="3"/>
      <c r="N254" s="3"/>
      <c r="O254" s="44"/>
      <c r="P254" s="10"/>
    </row>
    <row r="255" spans="1:16" ht="17" thickBot="1" x14ac:dyDescent="0.25">
      <c r="A255" s="9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10"/>
    </row>
    <row r="256" spans="1:16" ht="24" x14ac:dyDescent="0.3">
      <c r="A256" s="9"/>
      <c r="B256" s="24" t="s">
        <v>0</v>
      </c>
      <c r="C256" s="25" t="s">
        <v>29</v>
      </c>
      <c r="D256" s="336" t="s">
        <v>30</v>
      </c>
      <c r="E256" s="337"/>
      <c r="F256" s="25" t="s">
        <v>31</v>
      </c>
      <c r="G256" s="25" t="s">
        <v>32</v>
      </c>
      <c r="H256" s="25" t="s">
        <v>33</v>
      </c>
      <c r="I256" s="25" t="s">
        <v>34</v>
      </c>
      <c r="J256" s="25" t="s">
        <v>35</v>
      </c>
      <c r="K256" s="25" t="s">
        <v>36</v>
      </c>
      <c r="L256" s="338" t="s">
        <v>37</v>
      </c>
      <c r="M256" s="338"/>
      <c r="N256" s="338"/>
      <c r="O256" s="339"/>
      <c r="P256" s="10"/>
    </row>
    <row r="257" spans="1:16" ht="24" x14ac:dyDescent="0.3">
      <c r="A257" s="9"/>
      <c r="B257" s="26">
        <v>1</v>
      </c>
      <c r="C257" s="27" t="s">
        <v>266</v>
      </c>
      <c r="D257" s="328" t="s">
        <v>267</v>
      </c>
      <c r="E257" s="329"/>
      <c r="F257" s="214"/>
      <c r="G257" s="214"/>
      <c r="H257" s="214" t="s">
        <v>191</v>
      </c>
      <c r="I257" s="238" t="s">
        <v>203</v>
      </c>
      <c r="J257" s="214">
        <v>255</v>
      </c>
      <c r="K257" s="214" t="s">
        <v>191</v>
      </c>
      <c r="L257" s="330" t="s">
        <v>268</v>
      </c>
      <c r="M257" s="330"/>
      <c r="N257" s="330"/>
      <c r="O257" s="331"/>
      <c r="P257" s="10"/>
    </row>
    <row r="258" spans="1:16" ht="24" x14ac:dyDescent="0.3">
      <c r="A258" s="9"/>
      <c r="B258" s="26">
        <v>2</v>
      </c>
      <c r="C258" s="27" t="s">
        <v>377</v>
      </c>
      <c r="D258" s="328" t="s">
        <v>378</v>
      </c>
      <c r="E258" s="329"/>
      <c r="F258" s="214"/>
      <c r="G258" s="214"/>
      <c r="H258" s="214" t="s">
        <v>191</v>
      </c>
      <c r="I258" s="238" t="s">
        <v>190</v>
      </c>
      <c r="J258" s="214">
        <v>255</v>
      </c>
      <c r="K258" s="214"/>
      <c r="L258" s="330"/>
      <c r="M258" s="330"/>
      <c r="N258" s="330"/>
      <c r="O258" s="331"/>
      <c r="P258" s="10"/>
    </row>
    <row r="259" spans="1:16" ht="24" x14ac:dyDescent="0.3">
      <c r="A259" s="9"/>
      <c r="B259" s="26">
        <v>3</v>
      </c>
      <c r="C259" s="27" t="s">
        <v>376</v>
      </c>
      <c r="D259" s="328" t="s">
        <v>379</v>
      </c>
      <c r="E259" s="329"/>
      <c r="F259" s="214"/>
      <c r="G259" s="214"/>
      <c r="H259" s="214"/>
      <c r="I259" s="238" t="s">
        <v>190</v>
      </c>
      <c r="J259" s="214">
        <v>255</v>
      </c>
      <c r="K259" s="214"/>
      <c r="L259" s="330"/>
      <c r="M259" s="330"/>
      <c r="N259" s="330"/>
      <c r="O259" s="331"/>
      <c r="P259" s="10"/>
    </row>
    <row r="260" spans="1:16" ht="25" thickBot="1" x14ac:dyDescent="0.35">
      <c r="A260" s="9"/>
      <c r="B260" s="29"/>
      <c r="C260" s="30"/>
      <c r="D260" s="332"/>
      <c r="E260" s="333"/>
      <c r="F260" s="215"/>
      <c r="G260" s="215"/>
      <c r="H260" s="215"/>
      <c r="I260" s="31"/>
      <c r="J260" s="215"/>
      <c r="K260" s="215"/>
      <c r="L260" s="334"/>
      <c r="M260" s="334"/>
      <c r="N260" s="334"/>
      <c r="O260" s="335"/>
      <c r="P260" s="10"/>
    </row>
    <row r="261" spans="1:16" x14ac:dyDescent="0.2">
      <c r="A261" s="9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10"/>
    </row>
    <row r="262" spans="1:16" ht="17" thickBot="1" x14ac:dyDescent="0.25">
      <c r="A262" s="9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10"/>
    </row>
    <row r="263" spans="1:16" ht="25" thickBot="1" x14ac:dyDescent="0.35">
      <c r="A263" s="9"/>
      <c r="B263" s="32" t="s">
        <v>39</v>
      </c>
      <c r="C263" s="3"/>
      <c r="D263" s="231" t="s">
        <v>374</v>
      </c>
      <c r="E263" s="33"/>
      <c r="F263" s="33"/>
      <c r="G263" s="33"/>
      <c r="H263" s="34"/>
      <c r="I263" s="205" t="s">
        <v>385</v>
      </c>
      <c r="J263" s="3"/>
      <c r="K263" s="3"/>
      <c r="L263" s="3"/>
      <c r="M263" s="3"/>
      <c r="N263" s="3"/>
      <c r="O263" s="44"/>
      <c r="P263" s="10"/>
    </row>
    <row r="264" spans="1:16" ht="17" thickBot="1" x14ac:dyDescent="0.25">
      <c r="A264" s="9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10"/>
    </row>
    <row r="265" spans="1:16" ht="24" x14ac:dyDescent="0.3">
      <c r="A265" s="9"/>
      <c r="B265" s="24" t="s">
        <v>0</v>
      </c>
      <c r="C265" s="25" t="s">
        <v>29</v>
      </c>
      <c r="D265" s="336" t="s">
        <v>30</v>
      </c>
      <c r="E265" s="337"/>
      <c r="F265" s="25" t="s">
        <v>31</v>
      </c>
      <c r="G265" s="25" t="s">
        <v>32</v>
      </c>
      <c r="H265" s="25" t="s">
        <v>33</v>
      </c>
      <c r="I265" s="25" t="s">
        <v>34</v>
      </c>
      <c r="J265" s="25" t="s">
        <v>35</v>
      </c>
      <c r="K265" s="25" t="s">
        <v>36</v>
      </c>
      <c r="L265" s="338" t="s">
        <v>37</v>
      </c>
      <c r="M265" s="338"/>
      <c r="N265" s="338"/>
      <c r="O265" s="339"/>
      <c r="P265" s="10"/>
    </row>
    <row r="266" spans="1:16" ht="24" x14ac:dyDescent="0.3">
      <c r="A266" s="9"/>
      <c r="B266" s="26">
        <v>1</v>
      </c>
      <c r="C266" s="27" t="s">
        <v>380</v>
      </c>
      <c r="D266" s="328" t="s">
        <v>381</v>
      </c>
      <c r="E266" s="329"/>
      <c r="F266" s="214"/>
      <c r="G266" s="214"/>
      <c r="H266" s="214" t="s">
        <v>191</v>
      </c>
      <c r="I266" s="238" t="s">
        <v>190</v>
      </c>
      <c r="J266" s="214">
        <v>255</v>
      </c>
      <c r="K266" s="214"/>
      <c r="L266" s="330"/>
      <c r="M266" s="330"/>
      <c r="N266" s="330"/>
      <c r="O266" s="331"/>
      <c r="P266" s="10"/>
    </row>
    <row r="267" spans="1:16" ht="24" x14ac:dyDescent="0.3">
      <c r="A267" s="9"/>
      <c r="B267" s="26">
        <v>2</v>
      </c>
      <c r="C267" s="27" t="s">
        <v>376</v>
      </c>
      <c r="D267" s="328" t="s">
        <v>382</v>
      </c>
      <c r="E267" s="329"/>
      <c r="F267" s="214"/>
      <c r="G267" s="214"/>
      <c r="H267" s="214"/>
      <c r="I267" s="238" t="s">
        <v>190</v>
      </c>
      <c r="J267" s="214">
        <v>255</v>
      </c>
      <c r="K267" s="214"/>
      <c r="L267" s="330"/>
      <c r="M267" s="330"/>
      <c r="N267" s="330"/>
      <c r="O267" s="331"/>
      <c r="P267" s="10"/>
    </row>
    <row r="268" spans="1:16" ht="24" x14ac:dyDescent="0.3">
      <c r="A268" s="9"/>
      <c r="B268" s="26">
        <v>3</v>
      </c>
      <c r="C268" s="27" t="s">
        <v>217</v>
      </c>
      <c r="D268" s="249" t="s">
        <v>415</v>
      </c>
      <c r="E268" s="250"/>
      <c r="F268" s="214"/>
      <c r="G268" s="214"/>
      <c r="H268" s="214"/>
      <c r="I268" s="238" t="s">
        <v>188</v>
      </c>
      <c r="J268" s="214"/>
      <c r="K268" s="214"/>
      <c r="L268" s="330" t="s">
        <v>416</v>
      </c>
      <c r="M268" s="330"/>
      <c r="N268" s="330"/>
      <c r="O268" s="331"/>
      <c r="P268" s="10"/>
    </row>
    <row r="269" spans="1:16" ht="25" thickBot="1" x14ac:dyDescent="0.35">
      <c r="A269" s="9"/>
      <c r="B269" s="29"/>
      <c r="C269" s="30"/>
      <c r="D269" s="332"/>
      <c r="E269" s="333"/>
      <c r="F269" s="215"/>
      <c r="G269" s="215"/>
      <c r="H269" s="215"/>
      <c r="I269" s="31"/>
      <c r="J269" s="215"/>
      <c r="K269" s="215"/>
      <c r="L269" s="334"/>
      <c r="M269" s="334"/>
      <c r="N269" s="334"/>
      <c r="O269" s="335"/>
      <c r="P269" s="10"/>
    </row>
    <row r="270" spans="1:16" ht="17" thickBot="1" x14ac:dyDescent="0.25">
      <c r="A270" s="11"/>
      <c r="B270" s="12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3"/>
    </row>
    <row r="271" spans="1:16" ht="17" thickBot="1" x14ac:dyDescent="0.25">
      <c r="A271" s="6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8"/>
    </row>
    <row r="272" spans="1:16" ht="25" thickBot="1" x14ac:dyDescent="0.35">
      <c r="A272" s="9"/>
      <c r="B272" s="32" t="s">
        <v>39</v>
      </c>
      <c r="C272" s="3"/>
      <c r="D272" s="231" t="s">
        <v>375</v>
      </c>
      <c r="E272" s="33"/>
      <c r="F272" s="33"/>
      <c r="G272" s="33"/>
      <c r="H272" s="34"/>
      <c r="I272" s="205" t="s">
        <v>385</v>
      </c>
      <c r="J272" s="3"/>
      <c r="K272" s="3"/>
      <c r="L272" s="3"/>
      <c r="M272" s="3"/>
      <c r="N272" s="3"/>
      <c r="O272" s="44"/>
      <c r="P272" s="10"/>
    </row>
    <row r="273" spans="1:16" ht="17" thickBot="1" x14ac:dyDescent="0.25">
      <c r="A273" s="9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10"/>
    </row>
    <row r="274" spans="1:16" ht="24" x14ac:dyDescent="0.3">
      <c r="A274" s="9"/>
      <c r="B274" s="24" t="s">
        <v>0</v>
      </c>
      <c r="C274" s="25" t="s">
        <v>29</v>
      </c>
      <c r="D274" s="336" t="s">
        <v>30</v>
      </c>
      <c r="E274" s="337"/>
      <c r="F274" s="25" t="s">
        <v>31</v>
      </c>
      <c r="G274" s="25" t="s">
        <v>32</v>
      </c>
      <c r="H274" s="25" t="s">
        <v>33</v>
      </c>
      <c r="I274" s="25" t="s">
        <v>34</v>
      </c>
      <c r="J274" s="25" t="s">
        <v>35</v>
      </c>
      <c r="K274" s="25" t="s">
        <v>36</v>
      </c>
      <c r="L274" s="338" t="s">
        <v>37</v>
      </c>
      <c r="M274" s="338"/>
      <c r="N274" s="338"/>
      <c r="O274" s="339"/>
      <c r="P274" s="10"/>
    </row>
    <row r="275" spans="1:16" ht="24" x14ac:dyDescent="0.3">
      <c r="A275" s="9"/>
      <c r="B275" s="26">
        <v>1</v>
      </c>
      <c r="C275" s="27" t="s">
        <v>383</v>
      </c>
      <c r="D275" s="328" t="s">
        <v>386</v>
      </c>
      <c r="E275" s="329"/>
      <c r="F275" s="214"/>
      <c r="G275" s="214"/>
      <c r="H275" s="214" t="s">
        <v>191</v>
      </c>
      <c r="I275" s="238" t="s">
        <v>188</v>
      </c>
      <c r="J275" s="214"/>
      <c r="K275" s="214"/>
      <c r="L275" s="330" t="s">
        <v>387</v>
      </c>
      <c r="M275" s="330"/>
      <c r="N275" s="330"/>
      <c r="O275" s="331"/>
      <c r="P275" s="10"/>
    </row>
    <row r="276" spans="1:16" ht="24" x14ac:dyDescent="0.3">
      <c r="A276" s="9"/>
      <c r="B276" s="26">
        <v>2</v>
      </c>
      <c r="C276" s="27" t="s">
        <v>380</v>
      </c>
      <c r="D276" s="328" t="s">
        <v>388</v>
      </c>
      <c r="E276" s="329"/>
      <c r="F276" s="214"/>
      <c r="G276" s="214"/>
      <c r="H276" s="214" t="s">
        <v>191</v>
      </c>
      <c r="I276" s="238" t="s">
        <v>190</v>
      </c>
      <c r="J276" s="214">
        <v>255</v>
      </c>
      <c r="K276" s="214"/>
      <c r="L276" s="330"/>
      <c r="M276" s="330"/>
      <c r="N276" s="330"/>
      <c r="O276" s="331"/>
      <c r="P276" s="10"/>
    </row>
    <row r="277" spans="1:16" ht="24" x14ac:dyDescent="0.3">
      <c r="A277" s="9"/>
      <c r="B277" s="26">
        <v>3</v>
      </c>
      <c r="C277" s="27" t="s">
        <v>376</v>
      </c>
      <c r="D277" s="348" t="s">
        <v>379</v>
      </c>
      <c r="E277" s="349"/>
      <c r="F277" s="214"/>
      <c r="G277" s="214"/>
      <c r="H277" s="214"/>
      <c r="I277" s="238" t="s">
        <v>190</v>
      </c>
      <c r="J277" s="214">
        <v>255</v>
      </c>
      <c r="K277" s="214"/>
      <c r="L277" s="330"/>
      <c r="M277" s="330"/>
      <c r="N277" s="330"/>
      <c r="O277" s="331"/>
      <c r="P277" s="10"/>
    </row>
    <row r="278" spans="1:16" ht="25" thickBot="1" x14ac:dyDescent="0.35">
      <c r="A278" s="9"/>
      <c r="B278" s="29">
        <v>4</v>
      </c>
      <c r="C278" s="30" t="s">
        <v>217</v>
      </c>
      <c r="D278" s="346" t="s">
        <v>415</v>
      </c>
      <c r="E278" s="347"/>
      <c r="F278" s="215"/>
      <c r="G278" s="215"/>
      <c r="H278" s="215" t="s">
        <v>191</v>
      </c>
      <c r="I278" s="31" t="s">
        <v>188</v>
      </c>
      <c r="J278" s="215"/>
      <c r="K278" s="215"/>
      <c r="L278" s="334" t="s">
        <v>416</v>
      </c>
      <c r="M278" s="334"/>
      <c r="N278" s="334"/>
      <c r="O278" s="335"/>
      <c r="P278" s="10"/>
    </row>
    <row r="279" spans="1:16" x14ac:dyDescent="0.2">
      <c r="A279" s="9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10"/>
    </row>
    <row r="280" spans="1:16" ht="17" thickBot="1" x14ac:dyDescent="0.25">
      <c r="A280" s="9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10"/>
    </row>
    <row r="281" spans="1:16" ht="25" thickBot="1" x14ac:dyDescent="0.35">
      <c r="A281" s="9"/>
      <c r="B281" s="32" t="s">
        <v>39</v>
      </c>
      <c r="C281" s="3"/>
      <c r="D281" s="231" t="s">
        <v>392</v>
      </c>
      <c r="E281" s="33"/>
      <c r="F281" s="33"/>
      <c r="G281" s="33"/>
      <c r="H281" s="34"/>
      <c r="I281" s="3"/>
      <c r="J281" s="3"/>
      <c r="K281" s="3"/>
      <c r="L281" s="3"/>
      <c r="M281" s="3"/>
      <c r="N281" s="3"/>
      <c r="O281" s="44"/>
      <c r="P281" s="10"/>
    </row>
    <row r="282" spans="1:16" ht="17" thickBot="1" x14ac:dyDescent="0.25">
      <c r="A282" s="9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10"/>
    </row>
    <row r="283" spans="1:16" ht="24" x14ac:dyDescent="0.3">
      <c r="A283" s="9"/>
      <c r="B283" s="24" t="s">
        <v>0</v>
      </c>
      <c r="C283" s="25" t="s">
        <v>29</v>
      </c>
      <c r="D283" s="336" t="s">
        <v>30</v>
      </c>
      <c r="E283" s="337"/>
      <c r="F283" s="25" t="s">
        <v>31</v>
      </c>
      <c r="G283" s="25" t="s">
        <v>32</v>
      </c>
      <c r="H283" s="25" t="s">
        <v>33</v>
      </c>
      <c r="I283" s="25" t="s">
        <v>34</v>
      </c>
      <c r="J283" s="25" t="s">
        <v>35</v>
      </c>
      <c r="K283" s="25" t="s">
        <v>36</v>
      </c>
      <c r="L283" s="338" t="s">
        <v>37</v>
      </c>
      <c r="M283" s="338"/>
      <c r="N283" s="338"/>
      <c r="O283" s="339"/>
      <c r="P283" s="10"/>
    </row>
    <row r="284" spans="1:16" ht="24" x14ac:dyDescent="0.3">
      <c r="A284" s="9"/>
      <c r="B284" s="26">
        <v>1</v>
      </c>
      <c r="C284" s="27" t="s">
        <v>393</v>
      </c>
      <c r="D284" s="328" t="s">
        <v>403</v>
      </c>
      <c r="E284" s="329"/>
      <c r="F284" s="214"/>
      <c r="G284" s="214"/>
      <c r="H284" s="214" t="s">
        <v>191</v>
      </c>
      <c r="I284" s="28" t="s">
        <v>190</v>
      </c>
      <c r="J284" s="214">
        <v>255</v>
      </c>
      <c r="K284" s="214"/>
      <c r="L284" s="330"/>
      <c r="M284" s="330"/>
      <c r="N284" s="330"/>
      <c r="O284" s="331"/>
      <c r="P284" s="10"/>
    </row>
    <row r="285" spans="1:16" ht="24" x14ac:dyDescent="0.3">
      <c r="A285" s="9"/>
      <c r="B285" s="26">
        <v>2</v>
      </c>
      <c r="C285" s="27" t="s">
        <v>394</v>
      </c>
      <c r="D285" s="328" t="s">
        <v>396</v>
      </c>
      <c r="E285" s="329"/>
      <c r="F285" s="214"/>
      <c r="G285" s="214"/>
      <c r="H285" s="214" t="s">
        <v>191</v>
      </c>
      <c r="I285" s="28" t="s">
        <v>190</v>
      </c>
      <c r="J285" s="214">
        <v>255</v>
      </c>
      <c r="K285" s="214"/>
      <c r="L285" s="330" t="s">
        <v>395</v>
      </c>
      <c r="M285" s="330"/>
      <c r="N285" s="330"/>
      <c r="O285" s="331"/>
      <c r="P285" s="10"/>
    </row>
    <row r="286" spans="1:16" ht="24" x14ac:dyDescent="0.2">
      <c r="A286" s="9"/>
      <c r="B286" s="234">
        <v>3</v>
      </c>
      <c r="C286" s="28" t="s">
        <v>397</v>
      </c>
      <c r="D286" s="340" t="s">
        <v>402</v>
      </c>
      <c r="E286" s="341"/>
      <c r="F286" s="214"/>
      <c r="G286" s="214"/>
      <c r="H286" s="214" t="s">
        <v>191</v>
      </c>
      <c r="I286" s="28" t="s">
        <v>190</v>
      </c>
      <c r="J286" s="214">
        <v>255</v>
      </c>
      <c r="K286" s="214"/>
      <c r="L286" s="342"/>
      <c r="M286" s="330"/>
      <c r="N286" s="330"/>
      <c r="O286" s="331"/>
      <c r="P286" s="10"/>
    </row>
    <row r="287" spans="1:16" ht="24" x14ac:dyDescent="0.3">
      <c r="A287" s="9"/>
      <c r="B287" s="26">
        <v>4</v>
      </c>
      <c r="C287" s="27" t="s">
        <v>398</v>
      </c>
      <c r="D287" s="328" t="s">
        <v>401</v>
      </c>
      <c r="E287" s="329"/>
      <c r="F287" s="214"/>
      <c r="G287" s="214"/>
      <c r="H287" s="214" t="s">
        <v>191</v>
      </c>
      <c r="I287" s="28" t="s">
        <v>188</v>
      </c>
      <c r="J287" s="214"/>
      <c r="K287" s="214"/>
      <c r="L287" s="330" t="s">
        <v>254</v>
      </c>
      <c r="M287" s="330"/>
      <c r="N287" s="330"/>
      <c r="O287" s="331"/>
      <c r="P287" s="10"/>
    </row>
    <row r="288" spans="1:16" ht="24" x14ac:dyDescent="0.3">
      <c r="A288" s="9"/>
      <c r="B288" s="26">
        <v>5</v>
      </c>
      <c r="C288" s="27" t="s">
        <v>399</v>
      </c>
      <c r="D288" s="328" t="s">
        <v>400</v>
      </c>
      <c r="E288" s="329"/>
      <c r="F288" s="214"/>
      <c r="G288" s="214"/>
      <c r="H288" s="214"/>
      <c r="I288" s="28" t="s">
        <v>203</v>
      </c>
      <c r="J288" s="214"/>
      <c r="K288" s="214" t="s">
        <v>191</v>
      </c>
      <c r="L288" s="330" t="s">
        <v>270</v>
      </c>
      <c r="M288" s="330"/>
      <c r="N288" s="330"/>
      <c r="O288" s="331"/>
      <c r="P288" s="10"/>
    </row>
    <row r="289" spans="1:16" ht="25" thickBot="1" x14ac:dyDescent="0.35">
      <c r="A289" s="9"/>
      <c r="B289" s="29"/>
      <c r="C289" s="30"/>
      <c r="D289" s="332"/>
      <c r="E289" s="333"/>
      <c r="F289" s="215"/>
      <c r="G289" s="215"/>
      <c r="H289" s="215"/>
      <c r="I289" s="31"/>
      <c r="J289" s="215"/>
      <c r="K289" s="215"/>
      <c r="L289" s="334"/>
      <c r="M289" s="334"/>
      <c r="N289" s="334"/>
      <c r="O289" s="335"/>
      <c r="P289" s="10"/>
    </row>
    <row r="290" spans="1:16" x14ac:dyDescent="0.2">
      <c r="A290" s="9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10"/>
    </row>
    <row r="291" spans="1:16" x14ac:dyDescent="0.2">
      <c r="A291" s="9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10"/>
    </row>
    <row r="292" spans="1:16" ht="17" thickBot="1" x14ac:dyDescent="0.25">
      <c r="A292" s="11"/>
      <c r="B292" s="12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3"/>
    </row>
    <row r="293" spans="1:16" ht="17" thickBot="1" x14ac:dyDescent="0.25"/>
    <row r="294" spans="1:16" ht="25" thickBot="1" x14ac:dyDescent="0.35">
      <c r="A294" s="9"/>
      <c r="B294" s="32" t="s">
        <v>39</v>
      </c>
      <c r="C294" s="3"/>
      <c r="D294" s="231" t="s">
        <v>418</v>
      </c>
      <c r="E294" s="33"/>
      <c r="F294" s="33"/>
      <c r="G294" s="33"/>
      <c r="H294" s="34"/>
      <c r="I294" s="3"/>
      <c r="J294" s="3"/>
      <c r="K294" s="3"/>
      <c r="L294" s="3"/>
      <c r="M294" s="3"/>
      <c r="N294" s="3"/>
      <c r="O294" s="44"/>
      <c r="P294" s="10"/>
    </row>
    <row r="295" spans="1:16" ht="17" thickBot="1" x14ac:dyDescent="0.25">
      <c r="A295" s="9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10"/>
    </row>
    <row r="296" spans="1:16" ht="24" x14ac:dyDescent="0.3">
      <c r="A296" s="9"/>
      <c r="B296" s="24" t="s">
        <v>0</v>
      </c>
      <c r="C296" s="25" t="s">
        <v>29</v>
      </c>
      <c r="D296" s="336" t="s">
        <v>30</v>
      </c>
      <c r="E296" s="337"/>
      <c r="F296" s="25" t="s">
        <v>31</v>
      </c>
      <c r="G296" s="25" t="s">
        <v>32</v>
      </c>
      <c r="H296" s="25" t="s">
        <v>33</v>
      </c>
      <c r="I296" s="25" t="s">
        <v>34</v>
      </c>
      <c r="J296" s="25" t="s">
        <v>35</v>
      </c>
      <c r="K296" s="25" t="s">
        <v>36</v>
      </c>
      <c r="L296" s="338" t="s">
        <v>37</v>
      </c>
      <c r="M296" s="338"/>
      <c r="N296" s="338"/>
      <c r="O296" s="339"/>
      <c r="P296" s="10"/>
    </row>
    <row r="297" spans="1:16" ht="24" x14ac:dyDescent="0.3">
      <c r="A297" s="9"/>
      <c r="B297" s="26">
        <v>1</v>
      </c>
      <c r="C297" s="27" t="s">
        <v>419</v>
      </c>
      <c r="D297" s="328"/>
      <c r="E297" s="329"/>
      <c r="F297" s="214"/>
      <c r="G297" s="214"/>
      <c r="H297" s="214" t="s">
        <v>191</v>
      </c>
      <c r="I297" s="28" t="s">
        <v>190</v>
      </c>
      <c r="J297" s="214">
        <v>255</v>
      </c>
      <c r="K297" s="214"/>
      <c r="L297" s="330"/>
      <c r="M297" s="330"/>
      <c r="N297" s="330"/>
      <c r="O297" s="331"/>
      <c r="P297" s="10"/>
    </row>
    <row r="298" spans="1:16" ht="24" x14ac:dyDescent="0.3">
      <c r="A298" s="9"/>
      <c r="B298" s="26">
        <v>2</v>
      </c>
      <c r="C298" s="27" t="s">
        <v>420</v>
      </c>
      <c r="D298" s="328"/>
      <c r="E298" s="329"/>
      <c r="F298" s="214"/>
      <c r="G298" s="214"/>
      <c r="H298" s="214" t="s">
        <v>191</v>
      </c>
      <c r="I298" s="28" t="s">
        <v>188</v>
      </c>
      <c r="J298" s="214"/>
      <c r="K298" s="214"/>
      <c r="L298" s="330" t="s">
        <v>354</v>
      </c>
      <c r="M298" s="330"/>
      <c r="N298" s="330"/>
      <c r="O298" s="331"/>
      <c r="P298" s="10"/>
    </row>
    <row r="299" spans="1:16" ht="24" x14ac:dyDescent="0.2">
      <c r="A299" s="9"/>
      <c r="B299" s="234">
        <v>3</v>
      </c>
      <c r="C299" s="28" t="s">
        <v>421</v>
      </c>
      <c r="D299" s="340"/>
      <c r="E299" s="341"/>
      <c r="F299" s="214"/>
      <c r="G299" s="214"/>
      <c r="H299" s="214" t="s">
        <v>191</v>
      </c>
      <c r="I299" s="28" t="s">
        <v>188</v>
      </c>
      <c r="J299" s="214"/>
      <c r="K299" s="214"/>
      <c r="L299" s="342" t="s">
        <v>350</v>
      </c>
      <c r="M299" s="330"/>
      <c r="N299" s="330"/>
      <c r="O299" s="331"/>
      <c r="P299" s="10"/>
    </row>
    <row r="300" spans="1:16" ht="24" x14ac:dyDescent="0.3">
      <c r="A300" s="9"/>
      <c r="B300" s="26">
        <v>4</v>
      </c>
      <c r="C300" s="27" t="s">
        <v>405</v>
      </c>
      <c r="D300" s="328"/>
      <c r="E300" s="329"/>
      <c r="F300" s="214"/>
      <c r="G300" s="214"/>
      <c r="H300" s="214" t="s">
        <v>191</v>
      </c>
      <c r="I300" s="28" t="s">
        <v>188</v>
      </c>
      <c r="J300" s="214"/>
      <c r="K300" s="214"/>
      <c r="L300" s="330"/>
      <c r="M300" s="330"/>
      <c r="N300" s="330"/>
      <c r="O300" s="331"/>
      <c r="P300" s="10"/>
    </row>
    <row r="301" spans="1:16" ht="24" x14ac:dyDescent="0.3">
      <c r="A301" s="9"/>
      <c r="B301" s="26">
        <v>5</v>
      </c>
      <c r="C301" s="27" t="s">
        <v>335</v>
      </c>
      <c r="D301" s="328"/>
      <c r="E301" s="329"/>
      <c r="F301" s="214"/>
      <c r="G301" s="214"/>
      <c r="H301" s="214" t="s">
        <v>191</v>
      </c>
      <c r="I301" s="28" t="s">
        <v>188</v>
      </c>
      <c r="J301" s="214"/>
      <c r="K301" s="214"/>
      <c r="L301" s="330"/>
      <c r="M301" s="330"/>
      <c r="N301" s="330"/>
      <c r="O301" s="331"/>
      <c r="P301" s="10"/>
    </row>
    <row r="302" spans="1:16" ht="24" x14ac:dyDescent="0.3">
      <c r="A302" s="9"/>
      <c r="B302" s="26">
        <v>6</v>
      </c>
      <c r="C302" s="27" t="s">
        <v>422</v>
      </c>
      <c r="D302" s="328"/>
      <c r="E302" s="329"/>
      <c r="F302" s="214"/>
      <c r="G302" s="214"/>
      <c r="H302" s="214" t="s">
        <v>191</v>
      </c>
      <c r="I302" s="28" t="s">
        <v>190</v>
      </c>
      <c r="J302" s="214">
        <v>255</v>
      </c>
      <c r="K302" s="214"/>
      <c r="L302" s="330"/>
      <c r="M302" s="330"/>
      <c r="N302" s="330"/>
      <c r="O302" s="331"/>
      <c r="P302" s="10"/>
    </row>
    <row r="303" spans="1:16" ht="24" x14ac:dyDescent="0.3">
      <c r="A303" s="9"/>
      <c r="B303" s="26">
        <v>7</v>
      </c>
      <c r="C303" s="27" t="s">
        <v>423</v>
      </c>
      <c r="D303" s="328"/>
      <c r="E303" s="329"/>
      <c r="F303" s="214"/>
      <c r="G303" s="214"/>
      <c r="H303" s="214" t="s">
        <v>191</v>
      </c>
      <c r="I303" s="28" t="s">
        <v>188</v>
      </c>
      <c r="J303" s="214"/>
      <c r="K303" s="214"/>
      <c r="L303" s="330" t="s">
        <v>424</v>
      </c>
      <c r="M303" s="330"/>
      <c r="N303" s="330"/>
      <c r="O303" s="331"/>
      <c r="P303" s="10"/>
    </row>
    <row r="304" spans="1:16" ht="25" thickBot="1" x14ac:dyDescent="0.35">
      <c r="A304" s="9"/>
      <c r="B304" s="29"/>
      <c r="C304" s="30"/>
      <c r="D304" s="332"/>
      <c r="E304" s="333"/>
      <c r="F304" s="215"/>
      <c r="G304" s="215"/>
      <c r="H304" s="215"/>
      <c r="I304" s="31"/>
      <c r="J304" s="215"/>
      <c r="K304" s="215"/>
      <c r="L304" s="334"/>
      <c r="M304" s="334"/>
      <c r="N304" s="334"/>
      <c r="O304" s="335"/>
      <c r="P304" s="10"/>
    </row>
    <row r="306" spans="1:16" ht="17" thickBot="1" x14ac:dyDescent="0.25"/>
    <row r="307" spans="1:16" ht="25" thickBot="1" x14ac:dyDescent="0.35">
      <c r="A307" s="9"/>
      <c r="B307" s="32" t="s">
        <v>39</v>
      </c>
      <c r="C307" s="3"/>
      <c r="D307" s="231" t="s">
        <v>425</v>
      </c>
      <c r="E307" s="33"/>
      <c r="F307" s="33"/>
      <c r="G307" s="33"/>
      <c r="H307" s="34"/>
      <c r="I307" s="3"/>
      <c r="J307" s="3"/>
      <c r="K307" s="3"/>
      <c r="L307" s="3"/>
      <c r="M307" s="3"/>
      <c r="N307" s="3"/>
      <c r="O307" s="44"/>
      <c r="P307" s="10"/>
    </row>
    <row r="308" spans="1:16" ht="17" thickBot="1" x14ac:dyDescent="0.25">
      <c r="A308" s="9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10"/>
    </row>
    <row r="309" spans="1:16" ht="24" x14ac:dyDescent="0.3">
      <c r="A309" s="9"/>
      <c r="B309" s="24" t="s">
        <v>0</v>
      </c>
      <c r="C309" s="25" t="s">
        <v>29</v>
      </c>
      <c r="D309" s="336" t="s">
        <v>30</v>
      </c>
      <c r="E309" s="337"/>
      <c r="F309" s="25" t="s">
        <v>31</v>
      </c>
      <c r="G309" s="25" t="s">
        <v>32</v>
      </c>
      <c r="H309" s="25" t="s">
        <v>33</v>
      </c>
      <c r="I309" s="25" t="s">
        <v>34</v>
      </c>
      <c r="J309" s="25" t="s">
        <v>35</v>
      </c>
      <c r="K309" s="25" t="s">
        <v>36</v>
      </c>
      <c r="L309" s="338" t="s">
        <v>37</v>
      </c>
      <c r="M309" s="338"/>
      <c r="N309" s="338"/>
      <c r="O309" s="339"/>
      <c r="P309" s="10"/>
    </row>
    <row r="310" spans="1:16" ht="24" x14ac:dyDescent="0.3">
      <c r="A310" s="9"/>
      <c r="B310" s="26">
        <v>1</v>
      </c>
      <c r="C310" s="27" t="s">
        <v>237</v>
      </c>
      <c r="D310" s="328"/>
      <c r="E310" s="329"/>
      <c r="F310" s="214"/>
      <c r="G310" s="214"/>
      <c r="H310" s="214" t="s">
        <v>191</v>
      </c>
      <c r="I310" s="28" t="s">
        <v>188</v>
      </c>
      <c r="J310" s="214"/>
      <c r="K310" s="214" t="s">
        <v>191</v>
      </c>
      <c r="L310" s="330" t="s">
        <v>426</v>
      </c>
      <c r="M310" s="330"/>
      <c r="N310" s="330"/>
      <c r="O310" s="331"/>
      <c r="P310" s="10"/>
    </row>
    <row r="311" spans="1:16" ht="24" x14ac:dyDescent="0.3">
      <c r="A311" s="9"/>
      <c r="B311" s="26">
        <v>2</v>
      </c>
      <c r="C311" s="27" t="s">
        <v>314</v>
      </c>
      <c r="D311" s="328"/>
      <c r="E311" s="329"/>
      <c r="F311" s="214"/>
      <c r="G311" s="214"/>
      <c r="H311" s="214" t="s">
        <v>191</v>
      </c>
      <c r="I311" s="28" t="s">
        <v>188</v>
      </c>
      <c r="J311" s="214"/>
      <c r="K311" s="214"/>
      <c r="L311" s="330"/>
      <c r="M311" s="330"/>
      <c r="N311" s="330"/>
      <c r="O311" s="331"/>
      <c r="P311" s="10"/>
    </row>
    <row r="312" spans="1:16" ht="24" x14ac:dyDescent="0.2">
      <c r="A312" s="9"/>
      <c r="B312" s="234">
        <v>3</v>
      </c>
      <c r="C312" s="28" t="s">
        <v>428</v>
      </c>
      <c r="D312" s="340"/>
      <c r="E312" s="341"/>
      <c r="F312" s="214"/>
      <c r="G312" s="214"/>
      <c r="H312" s="214" t="s">
        <v>191</v>
      </c>
      <c r="I312" s="28" t="s">
        <v>190</v>
      </c>
      <c r="J312" s="214">
        <v>20</v>
      </c>
      <c r="K312" s="214"/>
      <c r="L312" s="342"/>
      <c r="M312" s="330"/>
      <c r="N312" s="330"/>
      <c r="O312" s="331"/>
      <c r="P312" s="10"/>
    </row>
    <row r="313" spans="1:16" ht="24" x14ac:dyDescent="0.3">
      <c r="A313" s="9"/>
      <c r="B313" s="26">
        <v>4</v>
      </c>
      <c r="C313" s="27" t="s">
        <v>427</v>
      </c>
      <c r="D313" s="328"/>
      <c r="E313" s="329"/>
      <c r="F313" s="214"/>
      <c r="G313" s="214"/>
      <c r="H313" s="214" t="s">
        <v>191</v>
      </c>
      <c r="I313" s="28" t="s">
        <v>188</v>
      </c>
      <c r="J313" s="214"/>
      <c r="K313" s="214"/>
      <c r="L313" s="330"/>
      <c r="M313" s="330"/>
      <c r="N313" s="330"/>
      <c r="O313" s="331"/>
      <c r="P313" s="10"/>
    </row>
    <row r="314" spans="1:16" ht="24" x14ac:dyDescent="0.3">
      <c r="A314" s="9"/>
      <c r="B314" s="26">
        <v>5</v>
      </c>
      <c r="C314" s="27" t="s">
        <v>429</v>
      </c>
      <c r="D314" s="328"/>
      <c r="E314" s="329"/>
      <c r="F314" s="214"/>
      <c r="G314" s="214"/>
      <c r="H314" s="214" t="s">
        <v>191</v>
      </c>
      <c r="I314" s="28" t="s">
        <v>190</v>
      </c>
      <c r="J314" s="214">
        <v>20</v>
      </c>
      <c r="K314" s="214"/>
      <c r="L314" s="330"/>
      <c r="M314" s="330"/>
      <c r="N314" s="330"/>
      <c r="O314" s="331"/>
      <c r="P314" s="10"/>
    </row>
    <row r="315" spans="1:16" ht="24" x14ac:dyDescent="0.3">
      <c r="A315" s="9"/>
      <c r="B315" s="26"/>
      <c r="C315" s="27"/>
      <c r="D315" s="328"/>
      <c r="E315" s="329"/>
      <c r="F315" s="214"/>
      <c r="G315" s="214"/>
      <c r="H315" s="214"/>
      <c r="I315" s="28"/>
      <c r="J315" s="214"/>
      <c r="K315" s="214"/>
      <c r="L315" s="330"/>
      <c r="M315" s="330"/>
      <c r="N315" s="330"/>
      <c r="O315" s="331"/>
      <c r="P315" s="10"/>
    </row>
    <row r="316" spans="1:16" ht="24" x14ac:dyDescent="0.3">
      <c r="A316" s="9"/>
      <c r="B316" s="26"/>
      <c r="C316" s="27"/>
      <c r="D316" s="328"/>
      <c r="E316" s="329"/>
      <c r="F316" s="214"/>
      <c r="G316" s="214"/>
      <c r="H316" s="214"/>
      <c r="I316" s="28"/>
      <c r="J316" s="214"/>
      <c r="K316" s="214"/>
      <c r="L316" s="330"/>
      <c r="M316" s="330"/>
      <c r="N316" s="330"/>
      <c r="O316" s="331"/>
      <c r="P316" s="10"/>
    </row>
    <row r="317" spans="1:16" ht="25" thickBot="1" x14ac:dyDescent="0.35">
      <c r="A317" s="9"/>
      <c r="B317" s="29"/>
      <c r="C317" s="30"/>
      <c r="D317" s="332"/>
      <c r="E317" s="333"/>
      <c r="F317" s="215"/>
      <c r="G317" s="215"/>
      <c r="H317" s="215"/>
      <c r="I317" s="31"/>
      <c r="J317" s="215"/>
      <c r="K317" s="215"/>
      <c r="L317" s="334"/>
      <c r="M317" s="334"/>
      <c r="N317" s="334"/>
      <c r="O317" s="335"/>
      <c r="P317" s="10"/>
    </row>
  </sheetData>
  <mergeCells count="357">
    <mergeCell ref="L122:O122"/>
    <mergeCell ref="L123:O123"/>
    <mergeCell ref="D127:E127"/>
    <mergeCell ref="L127:O127"/>
    <mergeCell ref="L124:O124"/>
    <mergeCell ref="D125:E125"/>
    <mergeCell ref="L125:O125"/>
    <mergeCell ref="L126:O126"/>
    <mergeCell ref="L242:O242"/>
    <mergeCell ref="D233:E233"/>
    <mergeCell ref="L233:O233"/>
    <mergeCell ref="L234:O234"/>
    <mergeCell ref="D235:E235"/>
    <mergeCell ref="L235:O235"/>
    <mergeCell ref="D240:E240"/>
    <mergeCell ref="L240:O240"/>
    <mergeCell ref="D241:E241"/>
    <mergeCell ref="L241:O241"/>
    <mergeCell ref="D216:E216"/>
    <mergeCell ref="L216:O216"/>
    <mergeCell ref="D217:E217"/>
    <mergeCell ref="L217:O217"/>
    <mergeCell ref="L218:O218"/>
    <mergeCell ref="D219:E219"/>
    <mergeCell ref="D243:E243"/>
    <mergeCell ref="L243:O243"/>
    <mergeCell ref="D248:E248"/>
    <mergeCell ref="L248:O248"/>
    <mergeCell ref="D249:E249"/>
    <mergeCell ref="L249:O249"/>
    <mergeCell ref="L250:O250"/>
    <mergeCell ref="D251:E251"/>
    <mergeCell ref="L251:O251"/>
    <mergeCell ref="L219:O219"/>
    <mergeCell ref="D232:E232"/>
    <mergeCell ref="L232:O232"/>
    <mergeCell ref="D224:E224"/>
    <mergeCell ref="L224:O224"/>
    <mergeCell ref="D225:E225"/>
    <mergeCell ref="L225:O225"/>
    <mergeCell ref="L226:O226"/>
    <mergeCell ref="D227:E227"/>
    <mergeCell ref="L227:O227"/>
    <mergeCell ref="D147:E147"/>
    <mergeCell ref="L147:O147"/>
    <mergeCell ref="D141:E141"/>
    <mergeCell ref="L141:O141"/>
    <mergeCell ref="D143:E143"/>
    <mergeCell ref="L143:O143"/>
    <mergeCell ref="L146:O146"/>
    <mergeCell ref="D136:E136"/>
    <mergeCell ref="L136:O136"/>
    <mergeCell ref="D144:E144"/>
    <mergeCell ref="L144:O144"/>
    <mergeCell ref="D145:E145"/>
    <mergeCell ref="L145:O145"/>
    <mergeCell ref="L137:O137"/>
    <mergeCell ref="L138:O138"/>
    <mergeCell ref="L139:O139"/>
    <mergeCell ref="L140:O140"/>
    <mergeCell ref="D137:E137"/>
    <mergeCell ref="D138:E138"/>
    <mergeCell ref="D139:E139"/>
    <mergeCell ref="D146:E146"/>
    <mergeCell ref="D140:E140"/>
    <mergeCell ref="D132:E132"/>
    <mergeCell ref="L132:O132"/>
    <mergeCell ref="D135:E135"/>
    <mergeCell ref="L135:O135"/>
    <mergeCell ref="D133:E133"/>
    <mergeCell ref="L133:O133"/>
    <mergeCell ref="D134:E134"/>
    <mergeCell ref="L134:O134"/>
    <mergeCell ref="D98:E98"/>
    <mergeCell ref="L98:O98"/>
    <mergeCell ref="D112:E112"/>
    <mergeCell ref="L112:O112"/>
    <mergeCell ref="D113:E113"/>
    <mergeCell ref="L113:O113"/>
    <mergeCell ref="D114:E114"/>
    <mergeCell ref="L114:O114"/>
    <mergeCell ref="D116:E116"/>
    <mergeCell ref="L116:O116"/>
    <mergeCell ref="L115:O115"/>
    <mergeCell ref="D120:E120"/>
    <mergeCell ref="L120:O120"/>
    <mergeCell ref="D121:E121"/>
    <mergeCell ref="L121:O121"/>
    <mergeCell ref="D122:E122"/>
    <mergeCell ref="L96:O96"/>
    <mergeCell ref="L97:O97"/>
    <mergeCell ref="D96:E96"/>
    <mergeCell ref="D97:E97"/>
    <mergeCell ref="D93:E93"/>
    <mergeCell ref="L93:O93"/>
    <mergeCell ref="D94:E94"/>
    <mergeCell ref="L94:O94"/>
    <mergeCell ref="L95:O95"/>
    <mergeCell ref="D95:E95"/>
    <mergeCell ref="D87:E87"/>
    <mergeCell ref="L87:O87"/>
    <mergeCell ref="L83:O83"/>
    <mergeCell ref="L84:O84"/>
    <mergeCell ref="D92:E92"/>
    <mergeCell ref="L92:O92"/>
    <mergeCell ref="D83:E83"/>
    <mergeCell ref="D84:E84"/>
    <mergeCell ref="D85:E85"/>
    <mergeCell ref="L85:O85"/>
    <mergeCell ref="D86:E86"/>
    <mergeCell ref="L86:O86"/>
    <mergeCell ref="D80:E80"/>
    <mergeCell ref="L80:O80"/>
    <mergeCell ref="L81:O81"/>
    <mergeCell ref="L82:O82"/>
    <mergeCell ref="D81:E81"/>
    <mergeCell ref="D82:E82"/>
    <mergeCell ref="L54:O54"/>
    <mergeCell ref="L70:O71"/>
    <mergeCell ref="D78:E78"/>
    <mergeCell ref="L78:O78"/>
    <mergeCell ref="D79:E79"/>
    <mergeCell ref="L79:O79"/>
    <mergeCell ref="D67:E67"/>
    <mergeCell ref="L67:O67"/>
    <mergeCell ref="D73:E73"/>
    <mergeCell ref="L73:O73"/>
    <mergeCell ref="L55:O55"/>
    <mergeCell ref="L56:O57"/>
    <mergeCell ref="D72:E72"/>
    <mergeCell ref="L72:O72"/>
    <mergeCell ref="D66:E66"/>
    <mergeCell ref="D68:E68"/>
    <mergeCell ref="D69:E69"/>
    <mergeCell ref="L69:O69"/>
    <mergeCell ref="D61:E61"/>
    <mergeCell ref="L61:O61"/>
    <mergeCell ref="L66:O66"/>
    <mergeCell ref="L68:O68"/>
    <mergeCell ref="D58:E58"/>
    <mergeCell ref="L58:O58"/>
    <mergeCell ref="D59:E59"/>
    <mergeCell ref="L59:O59"/>
    <mergeCell ref="D60:E60"/>
    <mergeCell ref="L60:O60"/>
    <mergeCell ref="D53:E53"/>
    <mergeCell ref="L53:O53"/>
    <mergeCell ref="L42:O42"/>
    <mergeCell ref="L43:O43"/>
    <mergeCell ref="L44:O44"/>
    <mergeCell ref="L45:O45"/>
    <mergeCell ref="L47:O47"/>
    <mergeCell ref="L46:O46"/>
    <mergeCell ref="D42:E42"/>
    <mergeCell ref="D43:E43"/>
    <mergeCell ref="D44:E44"/>
    <mergeCell ref="D45:E45"/>
    <mergeCell ref="D47:E47"/>
    <mergeCell ref="A1:B2"/>
    <mergeCell ref="C1:M2"/>
    <mergeCell ref="O1:P1"/>
    <mergeCell ref="O2:P2"/>
    <mergeCell ref="L17:O17"/>
    <mergeCell ref="D9:E9"/>
    <mergeCell ref="L9:O9"/>
    <mergeCell ref="D10:E10"/>
    <mergeCell ref="L10:O10"/>
    <mergeCell ref="D11:E11"/>
    <mergeCell ref="L11:O11"/>
    <mergeCell ref="D12:E12"/>
    <mergeCell ref="L12:O12"/>
    <mergeCell ref="D8:E8"/>
    <mergeCell ref="D17:E17"/>
    <mergeCell ref="L8:O8"/>
    <mergeCell ref="D18:E18"/>
    <mergeCell ref="D19:E19"/>
    <mergeCell ref="D20:E20"/>
    <mergeCell ref="D21:E21"/>
    <mergeCell ref="D22:E22"/>
    <mergeCell ref="D23:E23"/>
    <mergeCell ref="L18:O18"/>
    <mergeCell ref="L19:O19"/>
    <mergeCell ref="L20:O20"/>
    <mergeCell ref="L21:O21"/>
    <mergeCell ref="L22:O22"/>
    <mergeCell ref="L23:O23"/>
    <mergeCell ref="D155:E155"/>
    <mergeCell ref="L155:O155"/>
    <mergeCell ref="D157:E157"/>
    <mergeCell ref="L157:O157"/>
    <mergeCell ref="D29:E29"/>
    <mergeCell ref="D30:E30"/>
    <mergeCell ref="D31:E31"/>
    <mergeCell ref="D32:E32"/>
    <mergeCell ref="D33:E33"/>
    <mergeCell ref="D34:E34"/>
    <mergeCell ref="D35:E35"/>
    <mergeCell ref="D40:E40"/>
    <mergeCell ref="D41:E41"/>
    <mergeCell ref="L33:O33"/>
    <mergeCell ref="L34:O34"/>
    <mergeCell ref="L35:O35"/>
    <mergeCell ref="L40:O40"/>
    <mergeCell ref="L41:O41"/>
    <mergeCell ref="L29:O29"/>
    <mergeCell ref="L30:O30"/>
    <mergeCell ref="L31:O31"/>
    <mergeCell ref="L32:O32"/>
    <mergeCell ref="D52:E52"/>
    <mergeCell ref="L52:O52"/>
    <mergeCell ref="L176:O176"/>
    <mergeCell ref="D177:E177"/>
    <mergeCell ref="L177:O177"/>
    <mergeCell ref="D168:E168"/>
    <mergeCell ref="L168:O168"/>
    <mergeCell ref="L167:O167"/>
    <mergeCell ref="L156:O156"/>
    <mergeCell ref="D173:E173"/>
    <mergeCell ref="L173:O173"/>
    <mergeCell ref="D174:E174"/>
    <mergeCell ref="L174:O174"/>
    <mergeCell ref="D165:E165"/>
    <mergeCell ref="L165:O165"/>
    <mergeCell ref="D166:E166"/>
    <mergeCell ref="L166:O166"/>
    <mergeCell ref="D159:E159"/>
    <mergeCell ref="L159:O159"/>
    <mergeCell ref="L158:O158"/>
    <mergeCell ref="D158:E158"/>
    <mergeCell ref="D164:E164"/>
    <mergeCell ref="L164:O164"/>
    <mergeCell ref="D153:E153"/>
    <mergeCell ref="L153:O153"/>
    <mergeCell ref="D154:E154"/>
    <mergeCell ref="L154:O154"/>
    <mergeCell ref="D193:E193"/>
    <mergeCell ref="L193:O193"/>
    <mergeCell ref="D194:E194"/>
    <mergeCell ref="L194:O194"/>
    <mergeCell ref="D199:E199"/>
    <mergeCell ref="L199:O199"/>
    <mergeCell ref="D191:E191"/>
    <mergeCell ref="L191:O191"/>
    <mergeCell ref="D192:E192"/>
    <mergeCell ref="L192:O192"/>
    <mergeCell ref="D184:E184"/>
    <mergeCell ref="L184:O184"/>
    <mergeCell ref="D185:E185"/>
    <mergeCell ref="L185:O185"/>
    <mergeCell ref="D182:E182"/>
    <mergeCell ref="L182:O182"/>
    <mergeCell ref="D183:E183"/>
    <mergeCell ref="L183:O183"/>
    <mergeCell ref="D175:E175"/>
    <mergeCell ref="L175:O175"/>
    <mergeCell ref="D200:E200"/>
    <mergeCell ref="L200:O200"/>
    <mergeCell ref="D201:E201"/>
    <mergeCell ref="L201:O201"/>
    <mergeCell ref="L210:O210"/>
    <mergeCell ref="D211:E211"/>
    <mergeCell ref="L211:O211"/>
    <mergeCell ref="D203:E203"/>
    <mergeCell ref="L203:O203"/>
    <mergeCell ref="L202:O202"/>
    <mergeCell ref="D208:E208"/>
    <mergeCell ref="L208:O208"/>
    <mergeCell ref="D209:E209"/>
    <mergeCell ref="L209:O209"/>
    <mergeCell ref="D256:E256"/>
    <mergeCell ref="L256:O256"/>
    <mergeCell ref="D257:E257"/>
    <mergeCell ref="L257:O257"/>
    <mergeCell ref="D258:E258"/>
    <mergeCell ref="L258:O258"/>
    <mergeCell ref="L259:O259"/>
    <mergeCell ref="D260:E260"/>
    <mergeCell ref="L260:O260"/>
    <mergeCell ref="D259:E259"/>
    <mergeCell ref="D265:E265"/>
    <mergeCell ref="L265:O265"/>
    <mergeCell ref="D266:E266"/>
    <mergeCell ref="L266:O266"/>
    <mergeCell ref="D267:E267"/>
    <mergeCell ref="L267:O267"/>
    <mergeCell ref="L268:O268"/>
    <mergeCell ref="D269:E269"/>
    <mergeCell ref="L269:O269"/>
    <mergeCell ref="D274:E274"/>
    <mergeCell ref="L274:O274"/>
    <mergeCell ref="D275:E275"/>
    <mergeCell ref="L275:O275"/>
    <mergeCell ref="D276:E276"/>
    <mergeCell ref="L276:O276"/>
    <mergeCell ref="L277:O277"/>
    <mergeCell ref="D278:E278"/>
    <mergeCell ref="L278:O278"/>
    <mergeCell ref="D277:E277"/>
    <mergeCell ref="D288:E288"/>
    <mergeCell ref="L288:O288"/>
    <mergeCell ref="D289:E289"/>
    <mergeCell ref="L289:O289"/>
    <mergeCell ref="D283:E283"/>
    <mergeCell ref="L283:O283"/>
    <mergeCell ref="D284:E284"/>
    <mergeCell ref="L284:O284"/>
    <mergeCell ref="D285:E285"/>
    <mergeCell ref="L285:O285"/>
    <mergeCell ref="D286:E286"/>
    <mergeCell ref="L286:O286"/>
    <mergeCell ref="D287:E287"/>
    <mergeCell ref="L287:O287"/>
    <mergeCell ref="D103:E103"/>
    <mergeCell ref="L103:O103"/>
    <mergeCell ref="D104:E104"/>
    <mergeCell ref="L104:O104"/>
    <mergeCell ref="D105:E105"/>
    <mergeCell ref="L105:O105"/>
    <mergeCell ref="L106:O106"/>
    <mergeCell ref="D107:E107"/>
    <mergeCell ref="L107:O107"/>
    <mergeCell ref="D301:E301"/>
    <mergeCell ref="L301:O301"/>
    <mergeCell ref="D304:E304"/>
    <mergeCell ref="L304:O304"/>
    <mergeCell ref="D302:E302"/>
    <mergeCell ref="L302:O302"/>
    <mergeCell ref="D303:E303"/>
    <mergeCell ref="L303:O303"/>
    <mergeCell ref="D296:E296"/>
    <mergeCell ref="L296:O296"/>
    <mergeCell ref="D297:E297"/>
    <mergeCell ref="L297:O297"/>
    <mergeCell ref="D298:E298"/>
    <mergeCell ref="L298:O298"/>
    <mergeCell ref="D299:E299"/>
    <mergeCell ref="L299:O299"/>
    <mergeCell ref="D300:E300"/>
    <mergeCell ref="L300:O300"/>
    <mergeCell ref="D314:E314"/>
    <mergeCell ref="L314:O314"/>
    <mergeCell ref="D315:E315"/>
    <mergeCell ref="L315:O315"/>
    <mergeCell ref="D316:E316"/>
    <mergeCell ref="L316:O316"/>
    <mergeCell ref="D317:E317"/>
    <mergeCell ref="L317:O317"/>
    <mergeCell ref="D309:E309"/>
    <mergeCell ref="L309:O309"/>
    <mergeCell ref="D310:E310"/>
    <mergeCell ref="L310:O310"/>
    <mergeCell ref="D311:E311"/>
    <mergeCell ref="L311:O311"/>
    <mergeCell ref="D312:E312"/>
    <mergeCell ref="L312:O312"/>
    <mergeCell ref="D313:E313"/>
    <mergeCell ref="L313:O313"/>
  </mergeCells>
  <printOptions horizontalCentered="1"/>
  <pageMargins left="0.25" right="0.25" top="0.75" bottom="0.75" header="0.3" footer="0.3"/>
  <pageSetup paperSize="9" scale="35" fitToHeight="7" orientation="portrait" horizontalDpi="0" verticalDpi="0"/>
  <rowBreaks count="3" manualBreakCount="3">
    <brk id="88" max="15" man="1"/>
    <brk id="178" max="15" man="1"/>
    <brk id="270" max="15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7</vt:i4>
      </vt:variant>
    </vt:vector>
  </HeadingPairs>
  <TitlesOfParts>
    <vt:vector size="18" baseType="lpstr">
      <vt:lpstr>Cover</vt:lpstr>
      <vt:lpstr>Customer Requirement</vt:lpstr>
      <vt:lpstr>Schedule</vt:lpstr>
      <vt:lpstr>By person</vt:lpstr>
      <vt:lpstr>Coin &amp; Order Flow</vt:lpstr>
      <vt:lpstr>Project Flow_Admin</vt:lpstr>
      <vt:lpstr>Project Flow_Customer</vt:lpstr>
      <vt:lpstr>Project Flow_Kitchen</vt:lpstr>
      <vt:lpstr>Screen Design</vt:lpstr>
      <vt:lpstr>Code Rule</vt:lpstr>
      <vt:lpstr>DB Design</vt:lpstr>
      <vt:lpstr>'Coin &amp; Order Flow'!Print_Area</vt:lpstr>
      <vt:lpstr>Cover!Print_Area</vt:lpstr>
      <vt:lpstr>'DB Design'!Print_Area</vt:lpstr>
      <vt:lpstr>'Project Flow_Admin'!Print_Area</vt:lpstr>
      <vt:lpstr>'Project Flow_Customer'!Print_Area</vt:lpstr>
      <vt:lpstr>'Project Flow_Kitchen'!Print_Area</vt:lpstr>
      <vt:lpstr>Schedule!Print_Area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Linn Ko Ko</dc:creator>
  <cp:lastModifiedBy>Linn Ko Ko</cp:lastModifiedBy>
  <cp:lastPrinted>2022-01-09T03:30:14Z</cp:lastPrinted>
  <dcterms:created xsi:type="dcterms:W3CDTF">2021-11-01T05:45:47Z</dcterms:created>
  <dcterms:modified xsi:type="dcterms:W3CDTF">2022-01-14T15:04:56Z</dcterms:modified>
</cp:coreProperties>
</file>